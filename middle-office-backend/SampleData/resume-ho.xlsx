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xr:revisionPtr revIDLastSave="11" documentId="11_61FF29D7D90DF25FB4791F7AD1DBD4089FBF796C" xr6:coauthVersionLast="47" xr6:coauthVersionMax="47" xr10:uidLastSave="{4BB7488A-3759-489C-8610-6D6D513AFF2E}"/>
  <bookViews>
    <workbookView xWindow="240" yWindow="30" windowWidth="20115" windowHeight="8010" firstSheet="1" activeTab="1" xr2:uid="{00000000-000D-0000-FFFF-FFFF00000000}"/>
  </bookViews>
  <sheets>
    <sheet name="Kontraktual" sheetId="1" r:id="rId1"/>
    <sheet name="Behavioral" sheetId="4" r:id="rId2"/>
    <sheet name="Sheet2" sheetId="2" r:id="rId3"/>
    <sheet name="Sheet3" sheetId="3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E15" i="4"/>
  <c r="E13" i="4"/>
  <c r="E11" i="4"/>
  <c r="E10" i="4"/>
  <c r="E9" i="4"/>
  <c r="E5" i="4"/>
  <c r="E4" i="4"/>
  <c r="E3" i="4"/>
  <c r="E17" i="4" s="1"/>
  <c r="E15" i="1"/>
  <c r="E13" i="1"/>
  <c r="E11" i="1"/>
  <c r="E10" i="1"/>
  <c r="E9" i="1"/>
  <c r="E5" i="1"/>
  <c r="E4" i="1"/>
  <c r="E3" i="1"/>
</calcChain>
</file>

<file path=xl/sharedStrings.xml><?xml version="1.0" encoding="utf-8"?>
<sst xmlns="http://schemas.openxmlformats.org/spreadsheetml/2006/main" count="40" uniqueCount="19">
  <si>
    <t>Sandi</t>
  </si>
  <si>
    <t>Juni 2026</t>
  </si>
  <si>
    <t>I. Neraca</t>
  </si>
  <si>
    <t>IDR</t>
  </si>
  <si>
    <t>VA</t>
  </si>
  <si>
    <t>A. Asset</t>
  </si>
  <si>
    <t>B. Kewajiban</t>
  </si>
  <si>
    <t>C. Selisih Asset dengan Kewajiban dalam Neraca</t>
  </si>
  <si>
    <t>D. Kumulatif</t>
  </si>
  <si>
    <t>II. Rekening Administratif</t>
  </si>
  <si>
    <t>A. Tagihan Rekening Administratif</t>
  </si>
  <si>
    <t>B. Kewajiban Rekening Administratif</t>
  </si>
  <si>
    <t>C. Selisih Tagihan dan Kewajiban dalam Rek. Administratif</t>
  </si>
  <si>
    <t>Selisih {(I.A-I.B)+(II.A-II.B)}</t>
  </si>
  <si>
    <t>Selisih Kumulatif</t>
  </si>
  <si>
    <t>Gap Maturitas s.d 1 Bulan</t>
  </si>
  <si>
    <t>-</t>
  </si>
  <si>
    <t>Traffict Light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</si>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</sst>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9" fontId="0" fillId="0" borderId="1" xfId="2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urity%20Profile%20Rupiah%20Juni%202026%20-%20Kir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UAL_CETAK"/>
      <sheetName val="BEHAVIORAL_CETAK"/>
    </sheetNames>
    <sheetDataSet>
      <sheetData sheetId="0">
        <row r="10">
          <cell r="D10">
            <v>139503851.11679801</v>
          </cell>
          <cell r="E10">
            <v>27766163.3717608</v>
          </cell>
          <cell r="F10">
            <v>32652921.226028901</v>
          </cell>
        </row>
        <row r="71">
          <cell r="D71">
            <v>67715615.164274007</v>
          </cell>
          <cell r="E71">
            <v>65569739.361993797</v>
          </cell>
          <cell r="F71">
            <v>107215340.23136801</v>
          </cell>
        </row>
        <row r="127">
          <cell r="D127">
            <v>71788235.952524096</v>
          </cell>
          <cell r="E127">
            <v>-37803575.990232997</v>
          </cell>
          <cell r="F127">
            <v>-74562419.005339101</v>
          </cell>
        </row>
        <row r="130">
          <cell r="D130">
            <v>95419775.264109194</v>
          </cell>
          <cell r="E130">
            <v>7149573.9376456104</v>
          </cell>
          <cell r="F130">
            <v>14258992.473603301</v>
          </cell>
        </row>
        <row r="143">
          <cell r="D143">
            <v>93824507.833571404</v>
          </cell>
          <cell r="E143">
            <v>8077599.7530387202</v>
          </cell>
          <cell r="F143">
            <v>21957931.498605002</v>
          </cell>
        </row>
        <row r="170">
          <cell r="D170">
            <v>1595267.4305378499</v>
          </cell>
          <cell r="E170">
            <v>-928025.81539311004</v>
          </cell>
          <cell r="F170">
            <v>-7698939.0250017904</v>
          </cell>
        </row>
        <row r="172">
          <cell r="D172">
            <v>5591303.1816368103</v>
          </cell>
          <cell r="E172">
            <v>-38731601.805626102</v>
          </cell>
          <cell r="F172">
            <v>-82261358.030340895</v>
          </cell>
        </row>
        <row r="174">
          <cell r="E174">
            <v>-33140298.623989299</v>
          </cell>
          <cell r="F174">
            <v>-115401656.65433</v>
          </cell>
        </row>
      </sheetData>
      <sheetData sheetId="1">
        <row r="10">
          <cell r="D10">
            <v>107533719.180207</v>
          </cell>
          <cell r="E10">
            <v>27766163.3717608</v>
          </cell>
          <cell r="F10">
            <v>32652921.226028901</v>
          </cell>
        </row>
        <row r="37">
          <cell r="D37">
            <v>44953478.537772097</v>
          </cell>
          <cell r="E37">
            <v>45012522.173030503</v>
          </cell>
          <cell r="F37">
            <v>61481186.016573697</v>
          </cell>
        </row>
        <row r="71">
          <cell r="D71">
            <v>62580240.642434798</v>
          </cell>
          <cell r="E71">
            <v>-17246358.801269699</v>
          </cell>
          <cell r="F71">
            <v>-28828264.790544901</v>
          </cell>
        </row>
        <row r="74">
          <cell r="D74">
            <v>95419775.264109194</v>
          </cell>
          <cell r="E74">
            <v>7149573.9376456104</v>
          </cell>
          <cell r="F74">
            <v>14258992.473603301</v>
          </cell>
        </row>
        <row r="83">
          <cell r="D83">
            <v>93824507.833571404</v>
          </cell>
          <cell r="E83">
            <v>8077599.7530387202</v>
          </cell>
          <cell r="F83">
            <v>21957931.498605002</v>
          </cell>
        </row>
        <row r="93">
          <cell r="D93">
            <v>1595267.4305378499</v>
          </cell>
          <cell r="E93">
            <v>-928025.81539311004</v>
          </cell>
          <cell r="F93">
            <v>-7698939.0250017904</v>
          </cell>
        </row>
        <row r="95">
          <cell r="D95">
            <v>64175508.072972603</v>
          </cell>
          <cell r="E95">
            <v>-18174384.6166628</v>
          </cell>
          <cell r="F95">
            <v>-36527203.815546699</v>
          </cell>
        </row>
        <row r="97">
          <cell r="D97">
            <v>64175508.072972603</v>
          </cell>
          <cell r="E97">
            <v>46001123.456309803</v>
          </cell>
          <cell r="F97">
            <v>9473919.6407631394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H7" sqref="H7"/>
    </sheetView>
  </sheetViews>
  <sheetFormatPr defaultRowHeight="15"/>
  <cols>
    <col min="1" max="1" width="53.42578125" bestFit="1" customWidth="1"/>
    <col min="3" max="3" width="6" bestFit="1" customWidth="1"/>
    <col min="5" max="5" width="12.5703125" bestFit="1" customWidth="1"/>
    <col min="6" max="6" width="11.5703125" bestFit="1" customWidth="1"/>
    <col min="8" max="8" width="10" bestFit="1" customWidth="1"/>
  </cols>
  <sheetData>
    <row r="1" spans="1:6">
      <c r="A1" s="1"/>
      <c r="B1" s="1"/>
      <c r="C1" s="2" t="s">
        <v>0</v>
      </c>
      <c r="D1" s="1"/>
      <c r="E1" s="3" t="s">
        <v>1</v>
      </c>
      <c r="F1" s="3"/>
    </row>
    <row r="2" spans="1:6">
      <c r="A2" s="2" t="s">
        <v>2</v>
      </c>
      <c r="B2" s="1"/>
      <c r="C2" s="1"/>
      <c r="D2" s="1"/>
      <c r="E2" s="4" t="s">
        <v>3</v>
      </c>
      <c r="F2" s="4" t="s">
        <v>4</v>
      </c>
    </row>
    <row r="3" spans="1:6">
      <c r="A3" s="1" t="s">
        <v>5</v>
      </c>
      <c r="B3" s="1"/>
      <c r="C3" s="1">
        <v>10000</v>
      </c>
      <c r="D3" s="1"/>
      <c r="E3" s="5">
        <f>+[1]CONTRACTUAL_CETAK!$F$10+[1]CONTRACTUAL_CETAK!$E$10+[1]CONTRACTUAL_CETAK!$D$10</f>
        <v>199922935.71458772</v>
      </c>
      <c r="F3" s="5">
        <v>5718914</v>
      </c>
    </row>
    <row r="4" spans="1:6">
      <c r="A4" s="1" t="s">
        <v>6</v>
      </c>
      <c r="B4" s="1"/>
      <c r="C4" s="1">
        <v>20000</v>
      </c>
      <c r="D4" s="1"/>
      <c r="E4" s="5">
        <f>+[1]CONTRACTUAL_CETAK!$F$71+[1]CONTRACTUAL_CETAK!$E$71+[1]CONTRACTUAL_CETAK!$D$71</f>
        <v>240500694.7576358</v>
      </c>
      <c r="F4" s="5">
        <v>3423551</v>
      </c>
    </row>
    <row r="5" spans="1:6">
      <c r="A5" s="1" t="s">
        <v>7</v>
      </c>
      <c r="B5" s="1"/>
      <c r="C5" s="1">
        <v>30000</v>
      </c>
      <c r="D5" s="1"/>
      <c r="E5" s="5">
        <f>+[1]CONTRACTUAL_CETAK!$F$127+[1]CONTRACTUAL_CETAK!$E$127+[1]CONTRACTUAL_CETAK!$D$127</f>
        <v>-40577759.043047994</v>
      </c>
      <c r="F5" s="5">
        <v>2295363</v>
      </c>
    </row>
    <row r="6" spans="1:6">
      <c r="A6" s="1" t="s">
        <v>8</v>
      </c>
      <c r="B6" s="1"/>
      <c r="C6" s="1"/>
      <c r="D6" s="1"/>
      <c r="E6" s="5"/>
      <c r="F6" s="5">
        <v>10273830</v>
      </c>
    </row>
    <row r="7" spans="1:6">
      <c r="A7" s="1"/>
      <c r="B7" s="1"/>
      <c r="C7" s="1"/>
      <c r="D7" s="1"/>
      <c r="E7" s="5"/>
      <c r="F7" s="5"/>
    </row>
    <row r="8" spans="1:6">
      <c r="A8" s="2" t="s">
        <v>9</v>
      </c>
      <c r="B8" s="1"/>
      <c r="C8" s="1"/>
      <c r="D8" s="1"/>
      <c r="E8" s="5"/>
      <c r="F8" s="5"/>
    </row>
    <row r="9" spans="1:6">
      <c r="A9" s="1" t="s">
        <v>10</v>
      </c>
      <c r="B9" s="1"/>
      <c r="C9" s="1">
        <v>40000</v>
      </c>
      <c r="D9" s="1"/>
      <c r="E9" s="5">
        <f>+[1]CONTRACTUAL_CETAK!$F$130+[1]CONTRACTUAL_CETAK!$E$130+[1]CONTRACTUAL_CETAK!$D$130</f>
        <v>116828341.6753581</v>
      </c>
      <c r="F9" s="5">
        <v>8910453</v>
      </c>
    </row>
    <row r="10" spans="1:6">
      <c r="A10" s="1" t="s">
        <v>11</v>
      </c>
      <c r="B10" s="1"/>
      <c r="C10" s="1">
        <v>50000</v>
      </c>
      <c r="D10" s="1"/>
      <c r="E10" s="5">
        <f>+[1]CONTRACTUAL_CETAK!$F$143+[1]CONTRACTUAL_CETAK!$E$143+[1]CONTRACTUAL_CETAK!$D$143</f>
        <v>123860039.08521512</v>
      </c>
      <c r="F10" s="5">
        <v>8483522</v>
      </c>
    </row>
    <row r="11" spans="1:6">
      <c r="A11" s="1" t="s">
        <v>12</v>
      </c>
      <c r="B11" s="1"/>
      <c r="C11" s="1">
        <v>60000</v>
      </c>
      <c r="D11" s="1"/>
      <c r="E11" s="5">
        <f>+[1]CONTRACTUAL_CETAK!$F$170+[1]CONTRACTUAL_CETAK!$E$170+[1]CONTRACTUAL_CETAK!$D$170</f>
        <v>-7031697.4098570514</v>
      </c>
      <c r="F11" s="5">
        <v>426931</v>
      </c>
    </row>
    <row r="12" spans="1:6">
      <c r="A12" s="1"/>
      <c r="B12" s="1"/>
      <c r="C12" s="1"/>
      <c r="D12" s="1"/>
      <c r="E12" s="5"/>
      <c r="F12" s="5"/>
    </row>
    <row r="13" spans="1:6">
      <c r="A13" s="1" t="s">
        <v>13</v>
      </c>
      <c r="B13" s="1"/>
      <c r="C13" s="1">
        <v>70000</v>
      </c>
      <c r="D13" s="1"/>
      <c r="E13" s="5">
        <f>+[1]CONTRACTUAL_CETAK!$F$172+[1]CONTRACTUAL_CETAK!$E$172+[1]CONTRACTUAL_CETAK!$D$172</f>
        <v>-115401656.65433019</v>
      </c>
      <c r="F13" s="5">
        <v>2722294</v>
      </c>
    </row>
    <row r="14" spans="1:6">
      <c r="A14" s="1"/>
      <c r="B14" s="1"/>
      <c r="C14" s="1"/>
      <c r="D14" s="1"/>
      <c r="E14" s="5"/>
      <c r="F14" s="5"/>
    </row>
    <row r="15" spans="1:6">
      <c r="A15" s="1" t="s">
        <v>14</v>
      </c>
      <c r="B15" s="1"/>
      <c r="C15" s="1">
        <v>80000</v>
      </c>
      <c r="D15" s="1"/>
      <c r="E15" s="5">
        <f>+[1]CONTRACTUAL_CETAK!$F$174+[1]CONTRACTUAL_CETAK!$E$174+[1]CONTRACTUAL_CETAK!$E$174</f>
        <v>-181682253.90230858</v>
      </c>
      <c r="F15" s="5">
        <v>12720494</v>
      </c>
    </row>
    <row r="16" spans="1:6">
      <c r="A16" s="1"/>
      <c r="B16" s="1"/>
      <c r="C16" s="1"/>
      <c r="D16" s="1"/>
      <c r="E16" s="5"/>
      <c r="F16" s="1"/>
    </row>
    <row r="17" spans="1:6">
      <c r="A17" s="1" t="s">
        <v>15</v>
      </c>
      <c r="B17" s="1"/>
      <c r="C17" s="1"/>
      <c r="D17" s="1"/>
      <c r="E17" s="6" t="s">
        <v>16</v>
      </c>
      <c r="F17" s="7" t="s">
        <v>16</v>
      </c>
    </row>
    <row r="18" spans="1:6">
      <c r="A18" s="1"/>
      <c r="B18" s="1"/>
      <c r="C18" s="1"/>
      <c r="D18" s="1"/>
      <c r="E18" s="6"/>
      <c r="F18" s="7"/>
    </row>
    <row r="19" spans="1:6">
      <c r="A19" s="1" t="s">
        <v>17</v>
      </c>
      <c r="B19" s="1"/>
      <c r="C19" s="1"/>
      <c r="D19" s="1"/>
      <c r="E19" s="7" t="s">
        <v>16</v>
      </c>
      <c r="F19" s="7" t="s">
        <v>16</v>
      </c>
    </row>
  </sheetData>
  <mergeCells count="1">
    <mergeCell ref="E1:F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9"/>
  <sheetViews>
    <sheetView tabSelected="1" workbookViewId="0">
      <selection sqref="A1:F19"/>
    </sheetView>
  </sheetViews>
  <sheetFormatPr defaultRowHeight="15"/>
  <cols>
    <col min="1" max="1" width="53.42578125" bestFit="1" customWidth="1"/>
    <col min="3" max="3" width="6" bestFit="1" customWidth="1"/>
    <col min="5" max="5" width="12.5703125" bestFit="1" customWidth="1"/>
    <col min="6" max="6" width="11.5703125" bestFit="1" customWidth="1"/>
    <col min="9" max="9" width="10" bestFit="1" customWidth="1"/>
  </cols>
  <sheetData>
    <row r="1" spans="1:6">
      <c r="A1" s="1"/>
      <c r="B1" s="1"/>
      <c r="C1" s="1" t="s">
        <v>0</v>
      </c>
      <c r="D1" s="1"/>
      <c r="E1" s="8" t="s">
        <v>1</v>
      </c>
      <c r="F1" s="8"/>
    </row>
    <row r="2" spans="1:6">
      <c r="A2" s="1" t="s">
        <v>2</v>
      </c>
      <c r="B2" s="1"/>
      <c r="C2" s="1"/>
      <c r="D2" s="1"/>
      <c r="E2" s="4" t="s">
        <v>3</v>
      </c>
      <c r="F2" s="4" t="s">
        <v>4</v>
      </c>
    </row>
    <row r="3" spans="1:6">
      <c r="A3" s="1" t="s">
        <v>5</v>
      </c>
      <c r="B3" s="1"/>
      <c r="C3" s="1">
        <v>10000</v>
      </c>
      <c r="D3" s="1"/>
      <c r="E3" s="5">
        <f>+[1]BEHAVIORAL_CETAK!$D$10+[1]BEHAVIORAL_CETAK!$E$10+[1]BEHAVIORAL_CETAK!$F$10</f>
        <v>167952803.77799669</v>
      </c>
      <c r="F3" s="5">
        <v>4188561.0959558049</v>
      </c>
    </row>
    <row r="4" spans="1:6">
      <c r="A4" s="1" t="s">
        <v>6</v>
      </c>
      <c r="B4" s="1"/>
      <c r="C4" s="1">
        <v>20000</v>
      </c>
      <c r="D4" s="1"/>
      <c r="E4" s="5">
        <f>+[1]BEHAVIORAL_CETAK!$D$37+[1]BEHAVIORAL_CETAK!$E$37+[1]BEHAVIORAL_CETAK!$F$37</f>
        <v>151447186.72737628</v>
      </c>
      <c r="F4" s="5">
        <v>2330925.0899551762</v>
      </c>
    </row>
    <row r="5" spans="1:6">
      <c r="A5" s="1" t="s">
        <v>7</v>
      </c>
      <c r="B5" s="1"/>
      <c r="C5" s="1">
        <v>30000</v>
      </c>
      <c r="D5" s="1"/>
      <c r="E5" s="5">
        <f>+[1]BEHAVIORAL_CETAK!$D$71+[1]BEHAVIORAL_CETAK!$E$71+[1]BEHAVIORAL_CETAK!$F$71</f>
        <v>16505617.050620195</v>
      </c>
      <c r="F5" s="5">
        <v>1857636.006000638</v>
      </c>
    </row>
    <row r="6" spans="1:6">
      <c r="A6" s="1" t="s">
        <v>8</v>
      </c>
      <c r="B6" s="1"/>
      <c r="C6" s="1"/>
      <c r="D6" s="1"/>
      <c r="E6" s="5"/>
      <c r="F6" s="5">
        <v>7758831.9467332996</v>
      </c>
    </row>
    <row r="7" spans="1:6">
      <c r="A7" s="1"/>
      <c r="B7" s="1"/>
      <c r="C7" s="1"/>
      <c r="D7" s="1"/>
      <c r="E7" s="5"/>
      <c r="F7" s="5"/>
    </row>
    <row r="8" spans="1:6">
      <c r="A8" s="1" t="s">
        <v>9</v>
      </c>
      <c r="B8" s="1"/>
      <c r="C8" s="1"/>
      <c r="D8" s="1"/>
      <c r="E8" s="5"/>
      <c r="F8" s="5"/>
    </row>
    <row r="9" spans="1:6">
      <c r="A9" s="1" t="s">
        <v>10</v>
      </c>
      <c r="B9" s="1"/>
      <c r="C9" s="1">
        <v>40000</v>
      </c>
      <c r="D9" s="1"/>
      <c r="E9" s="5">
        <f>+[1]BEHAVIORAL_CETAK!$D$74+[1]BEHAVIORAL_CETAK!$E$74+[1]BEHAVIORAL_CETAK!$F$74</f>
        <v>116828341.67535812</v>
      </c>
      <c r="F9" s="5">
        <v>8910453.8573953249</v>
      </c>
    </row>
    <row r="10" spans="1:6">
      <c r="A10" s="1" t="s">
        <v>11</v>
      </c>
      <c r="B10" s="1"/>
      <c r="C10" s="1">
        <v>50000</v>
      </c>
      <c r="D10" s="1"/>
      <c r="E10" s="5">
        <f>+[1]BEHAVIORAL_CETAK!$D$83+[1]BEHAVIORAL_CETAK!$E$83+[1]BEHAVIORAL_CETAK!$F$83</f>
        <v>123860039.08521512</v>
      </c>
      <c r="F10" s="5">
        <v>8483523.4583650492</v>
      </c>
    </row>
    <row r="11" spans="1:6">
      <c r="A11" s="1" t="s">
        <v>12</v>
      </c>
      <c r="B11" s="1"/>
      <c r="C11" s="1">
        <v>60000</v>
      </c>
      <c r="D11" s="1"/>
      <c r="E11" s="5">
        <f>+[1]BEHAVIORAL_CETAK!$D$93+[1]BEHAVIORAL_CETAK!$E$93+[1]BEHAVIORAL_CETAK!$F$93</f>
        <v>-7031697.4098570505</v>
      </c>
      <c r="F11" s="5">
        <v>426930.39903027093</v>
      </c>
    </row>
    <row r="12" spans="1:6">
      <c r="A12" s="1"/>
      <c r="B12" s="1"/>
      <c r="C12" s="1"/>
      <c r="D12" s="1"/>
      <c r="E12" s="5"/>
      <c r="F12" s="5"/>
    </row>
    <row r="13" spans="1:6">
      <c r="A13" s="1" t="s">
        <v>13</v>
      </c>
      <c r="B13" s="1"/>
      <c r="C13" s="1">
        <v>70000</v>
      </c>
      <c r="D13" s="1"/>
      <c r="E13" s="5">
        <f>+[1]BEHAVIORAL_CETAK!$D$95+[1]BEHAVIORAL_CETAK!$E$95+[1]BEHAVIORAL_CETAK!$F$95</f>
        <v>9473919.640763104</v>
      </c>
      <c r="F13" s="5">
        <v>2284566.4050309081</v>
      </c>
    </row>
    <row r="14" spans="1:6">
      <c r="A14" s="1"/>
      <c r="B14" s="1"/>
      <c r="C14" s="1"/>
      <c r="D14" s="1"/>
      <c r="E14" s="5"/>
      <c r="F14" s="5"/>
    </row>
    <row r="15" spans="1:6">
      <c r="A15" s="1" t="s">
        <v>14</v>
      </c>
      <c r="B15" s="1"/>
      <c r="C15" s="1">
        <v>80000</v>
      </c>
      <c r="D15" s="1"/>
      <c r="E15" s="5">
        <f>+[1]BEHAVIORAL_CETAK!$D$97+[1]BEHAVIORAL_CETAK!$E$97+[1]BEHAVIORAL_CETAK!$F$97</f>
        <v>119650551.17004554</v>
      </c>
      <c r="F15" s="5">
        <v>10205496.93730255</v>
      </c>
    </row>
    <row r="16" spans="1:6">
      <c r="A16" s="1"/>
      <c r="B16" s="1"/>
      <c r="C16" s="1"/>
      <c r="D16" s="1"/>
      <c r="E16" s="1"/>
      <c r="F16" s="1"/>
    </row>
    <row r="17" spans="1:6">
      <c r="A17" s="1" t="s">
        <v>15</v>
      </c>
      <c r="B17" s="1"/>
      <c r="C17" s="1"/>
      <c r="D17" s="1"/>
      <c r="E17" s="9">
        <f>+(E3+E9)/(E4+E10)</f>
        <v>1.0344121721208019</v>
      </c>
      <c r="F17" s="9">
        <f>+(F3+F9)/(F4+F10)</f>
        <v>1.2112513083605874</v>
      </c>
    </row>
    <row r="18" spans="1:6">
      <c r="A18" s="1"/>
      <c r="B18" s="1"/>
      <c r="C18" s="1"/>
      <c r="D18" s="1"/>
      <c r="E18" s="1"/>
      <c r="F18" s="1"/>
    </row>
    <row r="19" spans="1:6">
      <c r="A19" s="1" t="s">
        <v>17</v>
      </c>
      <c r="B19" s="1"/>
      <c r="C19" s="1"/>
      <c r="D19" s="1"/>
      <c r="E19" s="7" t="s">
        <v>18</v>
      </c>
      <c r="F19" s="7" t="s">
        <v>18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27175</dc:creator>
  <cp:keywords/>
  <dc:description/>
  <cp:lastModifiedBy>Satria Hexa Sunu</cp:lastModifiedBy>
  <cp:revision/>
  <dcterms:created xsi:type="dcterms:W3CDTF">2026-07-28T09:27:58Z</dcterms:created>
  <dcterms:modified xsi:type="dcterms:W3CDTF">2026-08-06T04:21:20Z</dcterms:modified>
  <cp:category/>
  <cp:contentStatus/>
</cp:coreProperties>
</file>