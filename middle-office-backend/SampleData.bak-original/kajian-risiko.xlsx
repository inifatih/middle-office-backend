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7"/>
  <workbookPr defaultThemeVersion="124226"/>
  <xr:revisionPtr revIDLastSave="12" documentId="11_1D9ABDEC76FD36D433A79648E3317EC46AED341D" xr6:coauthVersionLast="47" xr6:coauthVersionMax="47" xr10:uidLastSave="{C067232E-1ECD-44A7-8CE8-0A9256030642}"/>
  <bookViews>
    <workbookView xWindow="240" yWindow="105" windowWidth="20115" windowHeight="7245" firstSheet="2" activeTab="2" xr2:uid="{00000000-000D-0000-FFFF-FFFF00000000}"/>
  </bookViews>
  <sheets>
    <sheet name="Sheet1" sheetId="1" r:id="rId1"/>
    <sheet name="Sheet2" sheetId="2" r:id="rId2"/>
    <sheet name="upload"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10" i="2" l="1"/>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9" i="2"/>
</calcChain>
</file>

<file path=xl/sharedStrings.xml><?xml version="1.0" encoding="utf-8"?>
<sst xmlns="http://schemas.openxmlformats.org/spreadsheetml/2006/main" count="378" uniqueCount="120">
  <si>
    <t>Hari, tanggal:</t>
  </si>
  <si>
    <t>Senin, 27 Jul 2026</t>
  </si>
  <si>
    <t>Kajian Harian Risiko Likuiditas</t>
  </si>
  <si>
    <t>Pemantauan Ketersediaan Alat Likuid</t>
  </si>
  <si>
    <t>No</t>
  </si>
  <si>
    <t>Keterangan</t>
  </si>
  <si>
    <t>A.</t>
  </si>
  <si>
    <t>Primary Reserve Rupiah (Juta Rupiah)</t>
  </si>
  <si>
    <t>1.</t>
  </si>
  <si>
    <t>Kas Rupiah (Juta Rupiah)</t>
  </si>
  <si>
    <t>Normal</t>
  </si>
  <si>
    <t>Pagu Kas Rupiah BNI Wide*****</t>
  </si>
  <si>
    <t>Rata-rata realisasi kas rupiah (Periode Normal)****</t>
  </si>
  <si>
    <t>DARK GREEN</t>
  </si>
  <si>
    <t>2.</t>
  </si>
  <si>
    <t>Giro Wajib Minimum (GWM) Rupiah</t>
  </si>
  <si>
    <t>a.  GWM Harian (min. 0%)</t>
  </si>
  <si>
    <t xml:space="preserve">      ▫  R/C BI</t>
  </si>
  <si>
    <t xml:space="preserve">      ▫  DPK</t>
  </si>
  <si>
    <t xml:space="preserve">     GWM Averaging</t>
  </si>
  <si>
    <t>Pemenuhan GWM</t>
  </si>
  <si>
    <t xml:space="preserve">      ▫  Excess Reserve</t>
  </si>
  <si>
    <t>b.  GWM Sekunder (PLM)</t>
  </si>
  <si>
    <t xml:space="preserve">      ▫  SBI, SDBI, dan SBN</t>
  </si>
  <si>
    <t>c.  Ketentuan</t>
  </si>
  <si>
    <t xml:space="preserve">      ▫  GWM Rupiah (PADG No. 24/8/PADG/2022 tgl. 30 Juni 2022)</t>
  </si>
  <si>
    <t xml:space="preserve">      ▫  GWM Sekunder - PLM </t>
  </si>
  <si>
    <t>B.</t>
  </si>
  <si>
    <t>Primary Reserve Valas (Ribu USD)</t>
  </si>
  <si>
    <t>Kas Valas (Ribu USD)</t>
  </si>
  <si>
    <t>Pagu kas valas BNI Wide</t>
  </si>
  <si>
    <t>Rata-rata realisasi kas valas (5 Hari)****</t>
  </si>
  <si>
    <t>LIGHT YELLOW</t>
  </si>
  <si>
    <t>DARK YELLOW</t>
  </si>
  <si>
    <t>Giro Wajib Minimum (GWM) Valas</t>
  </si>
  <si>
    <t>a.  GWM Valas</t>
  </si>
  <si>
    <t xml:space="preserve">      ▫  R/C BI Valas</t>
  </si>
  <si>
    <t xml:space="preserve">      ▫  DPK Valas</t>
  </si>
  <si>
    <t>b.  Ketentuan (PADG No 22/2/PADG/2020 tgl 13 Maret 2020)</t>
  </si>
  <si>
    <t xml:space="preserve">      ▫  GWM Valas</t>
  </si>
  <si>
    <t>C.</t>
  </si>
  <si>
    <r>
      <rPr>
        <b/>
        <i/>
        <sz val="11"/>
        <color theme="1"/>
        <rFont val="Calibri"/>
        <family val="2"/>
      </rPr>
      <t>Safety Level</t>
    </r>
    <r>
      <rPr>
        <b/>
        <sz val="11"/>
        <color theme="1"/>
        <rFont val="Calibri"/>
        <family val="2"/>
      </rPr>
      <t xml:space="preserve"> (Juta Rupiah)</t>
    </r>
  </si>
  <si>
    <t>Tight/Normal*</t>
  </si>
  <si>
    <t>Moderate</t>
  </si>
  <si>
    <r>
      <rPr>
        <i/>
        <sz val="11.5"/>
        <color theme="1"/>
        <rFont val="Calibri"/>
        <family val="2"/>
      </rPr>
      <t>Safety Level</t>
    </r>
    <r>
      <rPr>
        <sz val="11.5"/>
        <color theme="1"/>
        <rFont val="Calibri"/>
        <family val="2"/>
      </rPr>
      <t>**</t>
    </r>
  </si>
  <si>
    <t>3.</t>
  </si>
  <si>
    <t>Cadangan Likuiditas</t>
  </si>
  <si>
    <t>GREEN</t>
  </si>
  <si>
    <t>4.</t>
  </si>
  <si>
    <t>TR Liquid (after haircut 20%)</t>
  </si>
  <si>
    <t>5.</t>
  </si>
  <si>
    <t>Status Likuiditas***</t>
  </si>
  <si>
    <t>D.</t>
  </si>
  <si>
    <r>
      <rPr>
        <b/>
        <i/>
        <sz val="11"/>
        <color theme="1"/>
        <rFont val="Calibri"/>
        <family val="2"/>
      </rPr>
      <t>Safety Level</t>
    </r>
    <r>
      <rPr>
        <b/>
        <sz val="11"/>
        <color theme="1"/>
        <rFont val="Calibri"/>
        <family val="2"/>
      </rPr>
      <t xml:space="preserve"> (Ribu USD)</t>
    </r>
  </si>
  <si>
    <t>E.</t>
  </si>
  <si>
    <t>Rasio Intermediasi Makroprudensial (RIM) (Juta Rupiah) ******</t>
  </si>
  <si>
    <t>a.</t>
  </si>
  <si>
    <t>Kredit</t>
  </si>
  <si>
    <t>Surat Berharga yang dimiliki</t>
  </si>
  <si>
    <t>Wesel Ekspor</t>
  </si>
  <si>
    <t>b.</t>
  </si>
  <si>
    <t>DPK</t>
  </si>
  <si>
    <t>Pinjaman yang diterima</t>
  </si>
  <si>
    <t>Surat Berharga yang diterbitkan</t>
  </si>
  <si>
    <t>RIM (Risk Appetite 84%-94%, Risk tolerance max 96%)</t>
  </si>
  <si>
    <t>Informasi posisi RIM</t>
  </si>
  <si>
    <t>Dalam Range Risk Appetite</t>
  </si>
  <si>
    <t>c.</t>
  </si>
  <si>
    <t>Disinsentif RIM</t>
  </si>
  <si>
    <t>F.</t>
  </si>
  <si>
    <t>Insentif KLM (Kebijakan Insentif Likuditas Makroprudensial)</t>
  </si>
  <si>
    <t xml:space="preserve">Surat BI terkait penyampaian informasi data insentif KLM </t>
  </si>
  <si>
    <t>G.</t>
  </si>
  <si>
    <t>Loan to Deposit Ratio (LDR)</t>
  </si>
  <si>
    <t>LDR Rupiah</t>
  </si>
  <si>
    <t>LDR Valas</t>
  </si>
  <si>
    <t>LDR Total</t>
  </si>
  <si>
    <t>H.</t>
  </si>
  <si>
    <t>AL:DPK dan AL:NCD</t>
  </si>
  <si>
    <t>AL/NCD (min. 50%)</t>
  </si>
  <si>
    <t/>
  </si>
  <si>
    <t>AL/DPK (min. 10%)</t>
  </si>
  <si>
    <t xml:space="preserve">Catatan:       </t>
  </si>
  <si>
    <t xml:space="preserve">  *            Kondisi Pagu Normal (Rupiah) dan Normal (Valas) cfm. Memo ERM No.ERM/3/597 tanggal 30 April 2026 </t>
  </si>
  <si>
    <t xml:space="preserve"> **           Safety Level (Adjusted SR Ideal) IDR dan VA cfm Memo ERM/3/046 tgl. 09 Januari 2024</t>
  </si>
  <si>
    <r>
      <t xml:space="preserve"> **           Berdasarkan hasil Steerco BCC tanggal 28 Mei 2025, kondisi likuiditas ditetapkan pada </t>
    </r>
    <r>
      <rPr>
        <i/>
        <sz val="10"/>
        <rFont val="Calibri"/>
        <family val="2"/>
      </rPr>
      <t>stage</t>
    </r>
    <r>
      <rPr>
        <sz val="10"/>
        <rFont val="Calibri"/>
        <family val="2"/>
      </rPr>
      <t> </t>
    </r>
    <r>
      <rPr>
        <b/>
        <sz val="10"/>
        <rFont val="Calibri"/>
        <family val="2"/>
      </rPr>
      <t>Moderate</t>
    </r>
    <r>
      <rPr>
        <sz val="10"/>
        <rFont val="Calibri"/>
        <family val="2"/>
      </rPr>
      <t>.</t>
    </r>
  </si>
  <si>
    <t xml:space="preserve">                 </t>
  </si>
  <si>
    <t xml:space="preserve"> ***         Perhitungan penetapan traffic light SR IDR dan VA cfm PP Prosedur Manajemen Risiko Likuiditas No. IN/829/ERM/003</t>
  </si>
  <si>
    <t xml:space="preserve">                 ****        Perhitungan Kas menggunakan Neraca Before tanggal 01 July 2026</t>
  </si>
  <si>
    <t xml:space="preserve">               *****      Penetapan Pagu Kas Rupiah dan Valas BNI Wide cfm. Memo No.ERM/3/921 tanggal 01 Juli 2026 </t>
  </si>
  <si>
    <t xml:space="preserve">               ******      Perhitungan LDR, AL/NCD, dan AL/DPK menggunakan data tanggal 29 Juni 2026</t>
  </si>
  <si>
    <r>
      <t xml:space="preserve">Analisa kajian kami sajikan sebagai berikut:
• Posisi traffic light Kas Rupiah dan Kas Valas adalah: </t>
    </r>
    <r>
      <rPr>
        <i/>
        <sz val="14"/>
        <color theme="1"/>
        <rFont val="Calibri"/>
        <family val="2"/>
      </rPr>
      <t xml:space="preserve">dark green </t>
    </r>
    <r>
      <rPr>
        <sz val="14"/>
        <rFont val="Calibri"/>
        <family val="2"/>
      </rPr>
      <t>dan</t>
    </r>
    <r>
      <rPr>
        <i/>
        <sz val="14"/>
        <rFont val="Calibri"/>
        <family val="2"/>
      </rPr>
      <t xml:space="preserve"> dark yellow.</t>
    </r>
    <r>
      <rPr>
        <sz val="14"/>
        <rFont val="Calibri"/>
        <family val="2"/>
      </rPr>
      <t xml:space="preserve">
</t>
    </r>
    <r>
      <rPr>
        <sz val="14"/>
        <color theme="1"/>
        <rFont val="Calibri"/>
        <family val="2"/>
      </rPr>
      <t>• Posisi GWM Rupiah secara rata-rata (averaging) berada di posisi 5,26% dan berada diatas ketentuan pemenuhan GWM, dimana GWM Rupiah yang harus dipenuhi BNI pada periode ini adalah 3,60%. Sedangkan posisi GWM Valas yaitu sebesar 4,00%, berada sesuai ketentuan BI (4,00%).
• Berdasarkan Peraturan Anggota Dewan Gubernur Nomor 12 Tahun 2023 tentang Perubahan Kedua atas Peraturan Anggota Dewan Gubernur Nomor 24/8/PADG/2022 tentang Peraturan Pelaksanaan Pemenuhan Giro Wajib Minimum dalam Rupiah dan Valuta Asing bagi Bank Umum Konvensional, Bank Umum Syariah, dan Unit Usaha Syariah, diberlakukan ketentuan pemenuhan GWM Rupiah sebesar 9,00% mulai 01 September 2022.
• Berdasarkan Surat BI Perihal Informasi Pemberian Insentif Kebijakan Insentif Likuiditas Makroprudensial (KLM) Periode Bulan 01 Juli 2026 s.d 31 Juli 2026, bahwa BNI memperoleh insentif sebesar 5,40% selama periode 01 Juli 2026 s.d 31 Juli 2026.
• Berdasarkan Peraturan Anggota Dewan Gubernur Nomor 11 Tahun 2025 tentang Perubahan Kedelapan atas Peraturan Anggota Dewan Gubernur Nomor 21/22/PADG/2019 tentang Rasio Intermediasi Makroprudensial dan Penyangga Likuiditas Makroprudensial bagi Bank Umum Konvensional, Bank Umum Syariah, dan Unit Usaha Syariah, dilakukan penyesuaian besaran kewajiban PLM menjadi 4% (lima persen) dari DPK BUK dalam rupiah. 
• Realisasi GWM Sekunder (PLM) sebesar 18,70% atau sekitar 14,70% diatas ketentuan minimum BI sebesar 4,00%.
• Cfm. Memo ERM no. ERM/3/046 tanggal 09 Januari 2024 perihal Review Metodologi dan Limit Safety Level, dilakukan perubahan limit safety level rupiah dan valas yang mulai diberlakukan tanggal 10 April 2024.
• Realisasi Cadangan Likuiditas (Adjusted SR Netto) Rupiah meningkat sebesar 1,09% berada di Rp23.250Triliun dan berada pada traffic light 'GREEN'. Sedangkan realisasi Cadangan Likuiditas Valas meningkat dan berada di USD2.520 Juta dengan traffic light berada di 'GREEN'.
• Berdasarkan PADG No. 18 tahun 2026 per tanggal 01 Juli 2026 tentang Rasio Intermediasi Makroprudensial dan Penyangga Likuiditas Makroprudensial bagi Bank Umum Konvensional, Bank Umum Syariah, dan Unit Usaha Syariah. DPK dan Kredit yang digunakan dalam perhitungan menggunakan data Laporan Posisi Keuangan pada tanggal 01-15 dan 16-EoM pada bulan sebelumnya dalam LBUT.
• Rasio RIM 16 - EoM Juli 2026 turun dibandingkan periode sebelumnya (01 - 15 Juli 2026), dari sebelumnya sebesar 86,67% menjadi 85,61%. Turunnya nilai RIM didominasi oleh peningkatan komponen DPK sebesar 2,37% yaitu 25,18T.
• Pada periode RIM tanggal 16 - EoM Juli 2026 sebesar 85,61%, berada dalam range risk appetite (84%-94%), dan masih dibawah risk tolerance 96%.
• Perhitungan posisi RIM tanggal 16-EoM Juli 2026 telah memperhitungkan komponen Wesel-SKBDN pada Surat berharga yang dimiliki.
• Berdasarkan PBI No. 2 tahun 2026 tanggal 02 Februari 2026 dan PADG No. 23 tahun 2025 tanggal 20 Oktober 2025, diberlakukan parameter disinsentif bawah apabila RIM dibawah 84% serta diberlakukan parameter disinsentif atas jika nilai RIM diatas 94%.
• Realisasi LDR Rupiah sebesar 89,17% dan LDR Valas sebesar 75,02%. Agar tetap melakukan penghimpunan DPK dengan optimal disertai penyaluran kredit dengan tetap mengutamakan prinsip kehati-hatian untuk menjaga rasio LDR tetap stabil.
• Realisasi AL/NCD sebesar 91,81% dan berada diatas threshold minimum yang ditentukan yaitu sebesar 50% sedangkan realisasi AL/ DPK sebesar 21,41% dan berada diatas threshold minimum yang ditetapkan regulator sebesar 10%. Agar tetap menyediakan dana yang dapat ditempatkan pada instrumen-instrumen yang dapat meningkatkan persentase AL/NCD dan AL/DPK antara lain seperti Deposit Facility, RR SBN, Term Deposit, dan instrumen lainnya untuk menjaga persentase pemenuhan rasio AL/ NCD dan AL/DPK sesuai ketentuan minimum.</t>
    </r>
  </si>
  <si>
    <t>Bahaya</t>
  </si>
  <si>
    <t>RED DOWN</t>
  </si>
  <si>
    <t>RED BAHAYA</t>
  </si>
  <si>
    <t>Dalam Batas Toleransi</t>
  </si>
  <si>
    <t>kredit</t>
  </si>
  <si>
    <t>giro</t>
  </si>
  <si>
    <t>=A94&amp;TEXT(F94,"dd mmmm yyy")</t>
  </si>
  <si>
    <t>deposito</t>
  </si>
  <si>
    <t>simpanan</t>
  </si>
  <si>
    <t xml:space="preserve">                 ****        Perhitungan Kas menggunakan Neraca Before tanggal </t>
  </si>
  <si>
    <t>pinjaman yang diterima</t>
  </si>
  <si>
    <t>Minggu</t>
  </si>
  <si>
    <t>KREDIT</t>
  </si>
  <si>
    <t>SB YANG DIMILIKI</t>
  </si>
  <si>
    <t>SB YANG DITERBITKAN</t>
  </si>
  <si>
    <t>Kamis, 24 Apr 2025</t>
  </si>
  <si>
    <r>
      <rPr>
        <b/>
        <i/>
        <sz val="11"/>
        <color theme="1"/>
        <rFont val="Calibri"/>
        <family val="2"/>
      </rPr>
      <t xml:space="preserve">Safety Level </t>
    </r>
    <r>
      <rPr>
        <b/>
        <sz val="11"/>
        <color theme="1"/>
        <rFont val="Calibri"/>
        <family val="2"/>
      </rPr>
      <t>-</t>
    </r>
    <r>
      <rPr>
        <b/>
        <i/>
        <sz val="11"/>
        <color theme="1"/>
        <rFont val="Calibri"/>
        <family val="2"/>
      </rPr>
      <t xml:space="preserve"> Adjusted </t>
    </r>
    <r>
      <rPr>
        <b/>
        <sz val="11"/>
        <color theme="1"/>
        <rFont val="Calibri"/>
        <family val="2"/>
      </rPr>
      <t>SR Ideal Rupiah (Juta Rupiah)</t>
    </r>
  </si>
  <si>
    <r>
      <rPr>
        <i/>
        <sz val="11.5"/>
        <color theme="1"/>
        <rFont val="Calibri"/>
        <family val="2"/>
      </rPr>
      <t xml:space="preserve">Safety Level </t>
    </r>
    <r>
      <rPr>
        <sz val="11.5"/>
        <color theme="1"/>
        <rFont val="Calibri"/>
        <family val="2"/>
      </rPr>
      <t>(</t>
    </r>
    <r>
      <rPr>
        <i/>
        <sz val="11.5"/>
        <color theme="1"/>
        <rFont val="Calibri"/>
        <family val="2"/>
      </rPr>
      <t xml:space="preserve">Adjusted </t>
    </r>
    <r>
      <rPr>
        <sz val="11.5"/>
        <color theme="1"/>
        <rFont val="Calibri"/>
        <family val="2"/>
      </rPr>
      <t>SR Ideal)**</t>
    </r>
  </si>
  <si>
    <r>
      <t>Cadangan Likuiditas (</t>
    </r>
    <r>
      <rPr>
        <i/>
        <sz val="11.5"/>
        <color theme="1"/>
        <rFont val="Calibri"/>
        <family val="2"/>
      </rPr>
      <t>Adjusted</t>
    </r>
    <r>
      <rPr>
        <sz val="11.5"/>
        <color theme="1"/>
        <rFont val="Calibri"/>
        <family val="2"/>
      </rPr>
      <t xml:space="preserve"> SR Netto)</t>
    </r>
  </si>
  <si>
    <r>
      <rPr>
        <b/>
        <i/>
        <sz val="11"/>
        <color theme="1"/>
        <rFont val="Calibri"/>
        <family val="2"/>
      </rPr>
      <t>Safety Level</t>
    </r>
    <r>
      <rPr>
        <b/>
        <sz val="11"/>
        <color theme="1"/>
        <rFont val="Calibri"/>
        <family val="2"/>
      </rPr>
      <t xml:space="preserve"> - </t>
    </r>
    <r>
      <rPr>
        <b/>
        <i/>
        <sz val="11"/>
        <color theme="1"/>
        <rFont val="Calibri"/>
        <family val="2"/>
      </rPr>
      <t>Adjusted</t>
    </r>
    <r>
      <rPr>
        <b/>
        <sz val="11"/>
        <color theme="1"/>
        <rFont val="Calibri"/>
        <family val="2"/>
      </rPr>
      <t xml:space="preserve"> SR Ideal Valas (Ribu USD)</t>
    </r>
  </si>
  <si>
    <t>Surat BI terkait penyampaian informasi data insentif KLM (01-31 Maret 2025)</t>
  </si>
  <si>
    <t xml:space="preserve">  *            Kondisi  Pagu Kas Normal (Rupiah) dan Normal (Valas) cfm. Memo ERM No.ERM/3/1781 tanggal 30 Oktober 2024 </t>
  </si>
  <si>
    <r>
      <t xml:space="preserve"> **          Berdasarkan keputusan Steerco kondisi Likuiditas tanggal 02 Agustus 2024, kondisi likuiditas tetap </t>
    </r>
    <r>
      <rPr>
        <b/>
        <sz val="10"/>
        <rFont val="Calibri"/>
        <family val="2"/>
      </rPr>
      <t>Moderat</t>
    </r>
    <r>
      <rPr>
        <sz val="10"/>
        <rFont val="Calibri"/>
        <family val="2"/>
      </rPr>
      <t xml:space="preserve"> namun dengan pertimbangan kondisi ekonomi saat ini maka safety level dikembalikan menjadi</t>
    </r>
    <r>
      <rPr>
        <b/>
        <sz val="10"/>
        <rFont val="Calibri"/>
        <family val="2"/>
      </rPr>
      <t xml:space="preserve"> Normal</t>
    </r>
  </si>
  <si>
    <t>***         Perhitungan penetapan traffic light SR IDR dan VA cfm PP Prosedur Manajemen Risiko Likuiditas No. IN/829/ERM/003</t>
  </si>
  <si>
    <t xml:space="preserve">                 ****        Perhitungan Kas menggunakan Neraca Before tanggal 23 April 2025</t>
  </si>
  <si>
    <t xml:space="preserve">                 *****       Penetapan Pagu Kas Rupiah dan Valas BNI Wide cfm. Memo ERM/3/1781 tgl. 31 Oktober 2024</t>
  </si>
  <si>
    <r>
      <t xml:space="preserve">Analisa kajian kami sajikan sebagai berikut:
• Posisi traffic light Kas Rupiah dan Kas Valas adalah: </t>
    </r>
    <r>
      <rPr>
        <i/>
        <sz val="14"/>
        <color theme="1"/>
        <rFont val="Calibri"/>
        <family val="2"/>
      </rPr>
      <t xml:space="preserve">dark green dan dark green.
</t>
    </r>
    <r>
      <rPr>
        <sz val="14"/>
        <color theme="1"/>
        <rFont val="Calibri"/>
        <family val="2"/>
      </rPr>
      <t>• Posisi GWM Rupiah secara rata-rata (averaging) berada di posisi 4,18% dan berada diatas ketentuan pemenuhan GWM, dimana GWM Rupiah yang harus dipenuhi BNI pada periode ini adalah 4,00%. Sedangkan posisi GWM Valas yaitu sebesar 4,00%, dimana sesuai ketentuan BI (4,00%).
• Berdasarkan Peraturan Anggota Dewan Gubernur Nomor 12 Tahun 2023 tentang Perubahan Kedua atas Peraturan Anggota Dewan Gubernur Nomor 24/8/PADG/2022 tentang Peraturan Pelaksanaan Pemenuhan Giro Wajib Minimum dalam Rupiah dan Valuta Asing bagi Bank Umum Konvensional, Bank Umum Syariah, dan Unit Usaha Syariah, diberlakukan ketentuan pemenuhan GWM Rupiah sebesar 9,00% mulai 01 September 2022.
• Berdasarkan Surat BI Perihal Informasi Pemberian Insentif Kebijakan Insentif Likuiditas Makroprudensial (KLM) Periode Bulan 01 April s.d 31 Mei 2025, bahwa BNI memperoleh insentif sebesar 5,00% selama periode 01 April s.d 31 Mei 2025.
• Berdasarkan Peraturan Anggota Dewan Gubernur Nomor 18 Tahun 2023 tentang Perubahan Ketujuh atas Peraturan Anggota Dewan Gubernur Nomor 21/22/PADG/2019 tentang Rasio Intermediasi Makroprudensial dan Penyangga Likuiditas Makroprudensial bagi Bank Umum Konvensional, Bank Umum Syariah, dan Unit Usaha Syariah, dilakukan penyesuaian besaran kewajiban PLM menjadi 5% (lima persen) dari DPK BUK dalam rupiah.
• Realisasi GWM Sekunder (PLM) sebesar 18,35% atau sekitar 13,85% diatas ketentuan minimum BI sebesar 5,00%.
• Cfm. Memo ERM no. ERM/3/046 tanggal 09 Januari 2024 perihal Review Metodologi dan Limit Safety Level, dilakukan perubahan limit safety level rupiah dan valas yang mulai diberlakukan tanggal 10 April 2024.
• Realisasi Cadangan Likuiditas (Adjusted SR Netto) Rupiah meningkat sebesar 0,85% menjadi Rp15.040 Triliun namun tetap pada traffic light '</t>
    </r>
    <r>
      <rPr>
        <i/>
        <sz val="14"/>
        <color theme="1"/>
        <rFont val="Calibri"/>
        <family val="2"/>
      </rPr>
      <t>GREEN</t>
    </r>
    <r>
      <rPr>
        <sz val="14"/>
        <color theme="1"/>
        <rFont val="Calibri"/>
        <family val="2"/>
      </rPr>
      <t>'. Sedangkan realisasi Cadangan Likuiditas Valas meningkat dan berada di USD1.180 Juta serta traffic light berada di '</t>
    </r>
    <r>
      <rPr>
        <i/>
        <sz val="14"/>
        <color theme="1"/>
        <rFont val="Calibri"/>
        <family val="2"/>
      </rPr>
      <t>GREEN</t>
    </r>
    <r>
      <rPr>
        <sz val="14"/>
        <color theme="1"/>
        <rFont val="Calibri"/>
        <family val="2"/>
      </rPr>
      <t>'.
• Berdasarkan PBI No. 24/16/PBI/2022 dan PADG No. 24/14/PADG/2022 tanggal 01 November 2022 tentang Rasio Intermediasi Makroprudensial dan Penyangga Likuiditas Makroprudensial, bahwa DPK dan Kredit Luar Negeri menjadi komponen yang diperhitungkan dalam perhitungan RIM. DPK dan Kredit yang digunakan dalam perhitungan menggunakan data Laporan Posisi Keuangan pada tanggal 16-EoM pada bulan sebelumnya dalam LBUT.
•  Rasio RIM periode 16-EoM April 2025 naik dibandingkan periode sebelumnya (01-15 April 2025), dari sebelumnya sebesar 90,45% menjadi 91,32%. Meningkatnya nilai RIM yang didominasi oleh peningkatan Kredit dibandingkan periode sebelumnya sebesar Rp. 10,20T.
• Berdasarkan PADG No. 23/7/PADG/2021, per tanggal 01 Januari 2022 diberlakukan parameter disinsentif bawah apabila RIM dibawah 84% serta diberlakukan parameter disinsentif atas jika nilai RIM diatas 94%.
• Pada periode RIM tanggal 16-EoM April 2025 sebesar 91,32%, berada dalam range risk appetite (84%-94%), dan masih dibawah risk tolerance 96%.
• Realisasi LDR Rupiah sebesar 93,21% dan LDR Valas sebesar 93,63%. Agar tetap melakukan penghimpunan DPK dengan optimal disertai penyaluran kredit dengan tetap mengutamakan prinsip kehati-hatian untuk menjaga rasio LDR tetap stabil.
• Realisasi AL/NCD sebesar 65,62% dan berada diatas treshold minimum yang ditentukan yaitu sebesar 50% sedangkan realisasi AL/ DPK sebesar 15,96%  dan berada diatas treshold minimum yang ditetapkan regulator sebesar 10%. Agar tetap menyediakan dana yang dapat ditempatkan pada instrumen-instrumen yang dapat meningkatkan persentase AL/NCD dan AL/DPK antara lain seperti Deposit Facility, RR SBN, Term Deposit, dan instrumen lainnya untuk menjaga persentase pemenuhan rasio AL/ NCD dan AL/DPK sesuai ketentuan minimum.</t>
    </r>
  </si>
  <si>
    <t>Kamis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</si>
</sst>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1" formatCode="_(* #,##0_);_(* \(#,##0\);_(* &quot;-&quot;_);_(@_)"/>
    <numFmt numFmtId="43" formatCode="_(* #,##0.00_);_(* \(#,##0.00\);_(* &quot;-&quot;??_);_(@_)"/>
    <numFmt numFmtId="164" formatCode="_-* #,##0.00_-;\-* #,##0.00_-;_-* &quot;-&quot;??_-;_-@_-"/>
    <numFmt numFmtId="165" formatCode="_(* #,##0_);_(* \(#,##0\);_(* &quot;-&quot;??_);_(@_)"/>
    <numFmt numFmtId="166" formatCode="d\ mmm\ yyyy"/>
    <numFmt numFmtId="167" formatCode="0.00%\ &quot;OVER&quot;"/>
    <numFmt numFmtId="168" formatCode="0.0%"/>
    <numFmt numFmtId="169" formatCode="[$-409]d\-mmm\-yy;@"/>
    <numFmt numFmtId="170" formatCode="[$-421]dd\ mmmm\ yyyy;@"/>
    <numFmt numFmtId="171" formatCode="_-* #,##0_-;[Red]\-#,##0_-;_-* &quot;-&quot;_-;_-@_-"/>
    <numFmt numFmtId="172" formatCode="_(* #,##0_);_(* \(#,##0\);_(* &quot;-&quot;?_);_(@_)"/>
    <numFmt numFmtId="173" formatCode="_-* #,##0.000_-;\-* #,##0.000_-;_-* &quot;-&quot;??_-;_-@_-"/>
  </numFmts>
  <fonts count="33">
    <font>
      <sz val="11"/>
      <color theme="1"/>
      <name val="Calibri"/>
      <family val="2"/>
      <scheme val="minor"/>
    </font>
    <font>
      <sz val="11"/>
      <color theme="1"/>
      <name val="Calibri"/>
      <family val="2"/>
      <scheme val="minor"/>
    </font>
    <font>
      <b/>
      <sz val="11"/>
      <color theme="1"/>
      <name val="Calibri"/>
      <family val="2"/>
      <scheme val="minor"/>
    </font>
    <font>
      <b/>
      <sz val="18"/>
      <name val="Calibri"/>
      <family val="2"/>
    </font>
    <font>
      <b/>
      <sz val="18"/>
      <color theme="1"/>
      <name val="Calibri"/>
      <family val="2"/>
    </font>
    <font>
      <b/>
      <sz val="10"/>
      <color theme="1"/>
      <name val="Calibri"/>
      <family val="2"/>
    </font>
    <font>
      <b/>
      <sz val="10"/>
      <color theme="0"/>
      <name val="Calibri"/>
      <family val="2"/>
    </font>
    <font>
      <b/>
      <sz val="11"/>
      <color theme="1"/>
      <name val="Calibri"/>
      <family val="2"/>
    </font>
    <font>
      <b/>
      <sz val="20"/>
      <color rgb="FFFFFFFF"/>
      <name val="Calibri"/>
      <family val="2"/>
    </font>
    <font>
      <b/>
      <sz val="14"/>
      <color theme="1"/>
      <name val="Calibri"/>
      <family val="2"/>
    </font>
    <font>
      <b/>
      <sz val="11"/>
      <color rgb="FFFFFFFF"/>
      <name val="Calibri"/>
      <family val="2"/>
    </font>
    <font>
      <sz val="11.5"/>
      <color theme="1"/>
      <name val="Calibri"/>
      <family val="2"/>
    </font>
    <font>
      <sz val="11"/>
      <name val="Calibri"/>
      <family val="2"/>
    </font>
    <font>
      <sz val="11"/>
      <color theme="1"/>
      <name val="Calibri"/>
      <family val="2"/>
    </font>
    <font>
      <b/>
      <sz val="11"/>
      <name val="Calibri"/>
      <family val="2"/>
    </font>
    <font>
      <sz val="12"/>
      <name val="Calibri"/>
      <family val="2"/>
    </font>
    <font>
      <b/>
      <sz val="8"/>
      <name val="Calibri"/>
      <family val="2"/>
    </font>
    <font>
      <b/>
      <i/>
      <sz val="11"/>
      <color theme="1"/>
      <name val="Calibri"/>
      <family val="2"/>
    </font>
    <font>
      <i/>
      <sz val="11.5"/>
      <color theme="1"/>
      <name val="Calibri"/>
      <family val="2"/>
    </font>
    <font>
      <b/>
      <sz val="11"/>
      <color theme="0"/>
      <name val="Calibri"/>
      <family val="2"/>
    </font>
    <font>
      <b/>
      <sz val="11.5"/>
      <color theme="1"/>
      <name val="Calibri"/>
      <family val="2"/>
    </font>
    <font>
      <sz val="10"/>
      <name val="Calibri"/>
      <family val="2"/>
    </font>
    <font>
      <sz val="10"/>
      <color theme="1"/>
      <name val="Calibri"/>
      <family val="2"/>
    </font>
    <font>
      <sz val="9"/>
      <name val="Calibri"/>
      <family val="2"/>
    </font>
    <font>
      <i/>
      <sz val="10"/>
      <name val="Calibri"/>
      <family val="2"/>
    </font>
    <font>
      <b/>
      <sz val="10"/>
      <name val="Calibri"/>
      <family val="2"/>
    </font>
    <font>
      <sz val="14"/>
      <color theme="1"/>
      <name val="Calibri"/>
      <family val="2"/>
    </font>
    <font>
      <i/>
      <sz val="14"/>
      <color theme="1"/>
      <name val="Calibri"/>
      <family val="2"/>
    </font>
    <font>
      <sz val="14"/>
      <name val="Calibri"/>
      <family val="2"/>
    </font>
    <font>
      <i/>
      <sz val="14"/>
      <name val="Calibri"/>
      <family val="2"/>
    </font>
    <font>
      <sz val="11"/>
      <name val="Calibri"/>
      <family val="2"/>
      <scheme val="minor"/>
    </font>
    <font>
      <sz val="10"/>
      <name val="Univers"/>
      <family val="2"/>
    </font>
    <font>
      <sz val="8"/>
      <color rgb="FF333333"/>
      <name val="Verdana"/>
      <family val="2"/>
    </font>
  </fonts>
  <fills count="14">
    <fill>
      <patternFill patternType="none"/>
    </fill>
    <fill>
      <patternFill patternType="gray125"/>
    </fill>
    <fill>
      <patternFill patternType="solid">
        <fgColor theme="1" tint="4.9989318521683403E-2"/>
        <bgColor indexed="64"/>
      </patternFill>
    </fill>
    <fill>
      <patternFill patternType="solid">
        <fgColor theme="0" tint="-0.34998626667073579"/>
        <bgColor indexed="64"/>
      </patternFill>
    </fill>
    <fill>
      <patternFill patternType="solid">
        <fgColor theme="1" tint="0.249977111117893"/>
        <bgColor indexed="64"/>
      </patternFill>
    </fill>
    <fill>
      <patternFill patternType="solid">
        <fgColor theme="2" tint="-0.249977111117893"/>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1"/>
        <bgColor indexed="64"/>
      </patternFill>
    </fill>
    <fill>
      <patternFill patternType="solid">
        <fgColor rgb="FF92D050"/>
        <bgColor indexed="64"/>
      </patternFill>
    </fill>
    <fill>
      <patternFill patternType="solid">
        <fgColor theme="8" tint="0.59999389629810485"/>
        <bgColor indexed="64"/>
      </patternFill>
    </fill>
    <fill>
      <patternFill patternType="solid">
        <fgColor theme="6" tint="-0.499984740745262"/>
        <bgColor indexed="64"/>
      </patternFill>
    </fill>
    <fill>
      <patternFill patternType="solid">
        <fgColor theme="0"/>
        <bgColor indexed="64"/>
      </patternFill>
    </fill>
    <fill>
      <patternFill patternType="solid">
        <fgColor rgb="FF00B050"/>
        <bgColor indexed="64"/>
      </patternFill>
    </fill>
  </fills>
  <borders count="22">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bottom style="thin">
        <color theme="0" tint="-4.9989318521683403E-2"/>
      </bottom>
      <diagonal/>
    </border>
    <border>
      <left/>
      <right/>
      <top/>
      <bottom style="thin">
        <color theme="0" tint="-4.9989318521683403E-2"/>
      </bottom>
      <diagonal/>
    </border>
    <border>
      <left/>
      <right style="thin">
        <color indexed="64"/>
      </right>
      <top/>
      <bottom style="thin">
        <color theme="0" tint="-4.9989318521683403E-2"/>
      </bottom>
      <diagonal/>
    </border>
    <border>
      <left style="thin">
        <color indexed="64"/>
      </left>
      <right/>
      <top/>
      <bottom/>
      <diagonal/>
    </border>
    <border>
      <left style="thin">
        <color theme="2" tint="-0.499984740745262"/>
      </left>
      <right/>
      <top/>
      <bottom/>
      <diagonal/>
    </border>
    <border>
      <left/>
      <right style="thin">
        <color theme="2" tint="-0.499984740745262"/>
      </right>
      <top/>
      <bottom/>
      <diagonal/>
    </border>
    <border>
      <left style="thin">
        <color theme="2" tint="-0.499984740745262"/>
      </left>
      <right/>
      <top style="thin">
        <color theme="0" tint="-4.9989318521683403E-2"/>
      </top>
      <bottom/>
      <diagonal/>
    </border>
    <border>
      <left/>
      <right style="thin">
        <color indexed="64"/>
      </right>
      <top style="thin">
        <color theme="0" tint="-4.9989318521683403E-2"/>
      </top>
      <bottom/>
      <diagonal/>
    </border>
    <border>
      <left style="thin">
        <color indexed="64"/>
      </left>
      <right/>
      <top style="thin">
        <color indexed="64"/>
      </top>
      <bottom/>
      <diagonal/>
    </border>
    <border>
      <left/>
      <right/>
      <top style="thin">
        <color auto="1"/>
      </top>
      <bottom/>
      <diagonal/>
    </border>
    <border>
      <left style="thin">
        <color theme="2" tint="-0.499984740745262"/>
      </left>
      <right/>
      <top style="thin">
        <color indexed="64"/>
      </top>
      <bottom/>
      <diagonal/>
    </border>
    <border>
      <left/>
      <right style="thin">
        <color theme="2" tint="-0.499984740745262"/>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indexed="64"/>
      </bottom>
      <diagonal/>
    </border>
  </borders>
  <cellStyleXfs count="4">
    <xf numFmtId="0" fontId="0" fillId="0" borderId="0"/>
    <xf numFmtId="164" fontId="1" fillId="0" borderId="0" applyFont="0" applyFill="0" applyBorder="0" applyAlignment="0" applyProtection="0"/>
    <xf numFmtId="9" fontId="13" fillId="0" borderId="0" applyFont="0" applyFill="0" applyBorder="0" applyAlignment="0" applyProtection="0"/>
    <xf numFmtId="41" fontId="13" fillId="0" borderId="0" applyFont="0" applyFill="0" applyBorder="0" applyAlignment="0" applyProtection="0"/>
  </cellStyleXfs>
  <cellXfs count="306">
    <xf numFmtId="0" fontId="0" fillId="0" borderId="0" xfId="0"/>
    <xf numFmtId="0" fontId="3" fillId="0" borderId="0" xfId="0" applyFont="1" applyAlignment="1">
      <alignment horizontal="left"/>
    </xf>
    <xf numFmtId="0" fontId="4" fillId="0" borderId="0" xfId="0" applyFont="1"/>
    <xf numFmtId="0" fontId="5" fillId="0" borderId="0" xfId="0" applyFont="1"/>
    <xf numFmtId="0" fontId="5" fillId="0" borderId="0" xfId="0" applyFont="1" applyAlignment="1">
      <alignment horizontal="left"/>
    </xf>
    <xf numFmtId="0" fontId="0" fillId="0" borderId="0" xfId="0" applyAlignment="1">
      <alignment horizontal="left"/>
    </xf>
    <xf numFmtId="165" fontId="6" fillId="0" borderId="0" xfId="0" applyNumberFormat="1" applyFont="1"/>
    <xf numFmtId="43" fontId="0" fillId="0" borderId="0" xfId="0" applyNumberFormat="1"/>
    <xf numFmtId="43" fontId="7" fillId="0" borderId="0" xfId="0" applyNumberFormat="1" applyFont="1" applyAlignment="1">
      <alignment horizontal="right"/>
    </xf>
    <xf numFmtId="0" fontId="5" fillId="0" borderId="0" xfId="0" applyFont="1" applyAlignment="1">
      <alignment horizontal="center" vertical="center"/>
    </xf>
    <xf numFmtId="0" fontId="10" fillId="4" borderId="7" xfId="0" applyFont="1" applyFill="1" applyBorder="1" applyAlignment="1">
      <alignment horizontal="center" vertical="center"/>
    </xf>
    <xf numFmtId="0" fontId="10" fillId="4" borderId="0" xfId="0" applyFont="1" applyFill="1" applyAlignment="1">
      <alignment horizontal="left" vertical="center"/>
    </xf>
    <xf numFmtId="0" fontId="10" fillId="4" borderId="0" xfId="0" applyFont="1" applyFill="1" applyAlignment="1">
      <alignment horizontal="center" vertical="center"/>
    </xf>
    <xf numFmtId="0" fontId="7" fillId="4" borderId="0" xfId="0" applyFont="1" applyFill="1"/>
    <xf numFmtId="0" fontId="7" fillId="5" borderId="12" xfId="0" applyFont="1" applyFill="1" applyBorder="1" applyAlignment="1">
      <alignment horizontal="center" vertical="center"/>
    </xf>
    <xf numFmtId="0" fontId="7" fillId="5" borderId="13" xfId="0" applyFont="1" applyFill="1" applyBorder="1" applyAlignment="1">
      <alignment horizontal="left" vertical="top"/>
    </xf>
    <xf numFmtId="0" fontId="7" fillId="5" borderId="13" xfId="0" applyFont="1" applyFill="1" applyBorder="1" applyAlignment="1">
      <alignment vertical="top"/>
    </xf>
    <xf numFmtId="0" fontId="0" fillId="5" borderId="13" xfId="0" applyFill="1" applyBorder="1" applyAlignment="1">
      <alignment vertical="center"/>
    </xf>
    <xf numFmtId="0" fontId="0" fillId="5" borderId="14" xfId="0" applyFill="1" applyBorder="1" applyAlignment="1">
      <alignment vertical="center"/>
    </xf>
    <xf numFmtId="0" fontId="0" fillId="5" borderId="15" xfId="0" applyFill="1" applyBorder="1" applyAlignment="1">
      <alignment vertical="center"/>
    </xf>
    <xf numFmtId="165" fontId="0" fillId="5" borderId="16" xfId="0" applyNumberFormat="1" applyFill="1" applyBorder="1"/>
    <xf numFmtId="0" fontId="11" fillId="6" borderId="7" xfId="0" applyFont="1" applyFill="1" applyBorder="1" applyAlignment="1">
      <alignment horizontal="center" vertical="center"/>
    </xf>
    <xf numFmtId="0" fontId="11" fillId="6" borderId="0" xfId="0" quotePrefix="1" applyFont="1" applyFill="1" applyAlignment="1">
      <alignment horizontal="left" vertical="center"/>
    </xf>
    <xf numFmtId="0" fontId="11" fillId="6" borderId="0" xfId="0" applyFont="1" applyFill="1" applyAlignment="1">
      <alignment vertical="center"/>
    </xf>
    <xf numFmtId="0" fontId="11" fillId="6" borderId="0" xfId="0" applyFont="1" applyFill="1" applyAlignment="1">
      <alignment horizontal="right" vertical="center"/>
    </xf>
    <xf numFmtId="0" fontId="11" fillId="7" borderId="7" xfId="0" applyFont="1" applyFill="1" applyBorder="1" applyAlignment="1">
      <alignment horizontal="center" vertical="center"/>
    </xf>
    <xf numFmtId="0" fontId="11" fillId="7" borderId="0" xfId="0" quotePrefix="1" applyFont="1" applyFill="1" applyAlignment="1">
      <alignment horizontal="left" vertical="center"/>
    </xf>
    <xf numFmtId="0" fontId="11" fillId="7" borderId="0" xfId="0" applyFont="1" applyFill="1" applyAlignment="1">
      <alignment vertical="center"/>
    </xf>
    <xf numFmtId="0" fontId="11" fillId="7" borderId="0" xfId="0" applyFont="1" applyFill="1" applyAlignment="1">
      <alignment horizontal="center" vertical="center"/>
    </xf>
    <xf numFmtId="165" fontId="14" fillId="7" borderId="8" xfId="1" applyNumberFormat="1" applyFont="1" applyFill="1" applyBorder="1" applyAlignment="1">
      <alignment horizontal="center" vertical="center"/>
    </xf>
    <xf numFmtId="0" fontId="15" fillId="7" borderId="9" xfId="0" applyFont="1" applyFill="1" applyBorder="1"/>
    <xf numFmtId="0" fontId="16" fillId="7" borderId="17" xfId="0" applyFont="1" applyFill="1" applyBorder="1" applyAlignment="1">
      <alignment horizontal="left" vertical="top"/>
    </xf>
    <xf numFmtId="0" fontId="11" fillId="6" borderId="0" xfId="0" applyFont="1" applyFill="1" applyAlignment="1">
      <alignment horizontal="center" vertical="center"/>
    </xf>
    <xf numFmtId="165" fontId="14" fillId="6" borderId="8" xfId="1" applyNumberFormat="1" applyFont="1" applyFill="1" applyBorder="1" applyAlignment="1">
      <alignment horizontal="center" vertical="center"/>
    </xf>
    <xf numFmtId="10" fontId="7" fillId="6" borderId="9" xfId="2" applyNumberFormat="1" applyFont="1" applyFill="1" applyBorder="1" applyAlignment="1">
      <alignment horizontal="right" vertical="center"/>
    </xf>
    <xf numFmtId="10" fontId="14" fillId="6" borderId="17" xfId="2" applyNumberFormat="1" applyFont="1" applyFill="1" applyBorder="1" applyAlignment="1">
      <alignment horizontal="right" vertical="center"/>
    </xf>
    <xf numFmtId="0" fontId="7" fillId="8" borderId="18" xfId="0" applyFont="1" applyFill="1" applyBorder="1" applyAlignment="1">
      <alignment horizontal="center"/>
    </xf>
    <xf numFmtId="0" fontId="7" fillId="9" borderId="18" xfId="0" applyFont="1" applyFill="1" applyBorder="1" applyAlignment="1">
      <alignment horizontal="center"/>
    </xf>
    <xf numFmtId="0" fontId="12" fillId="6" borderId="8" xfId="0" applyFont="1" applyFill="1" applyBorder="1"/>
    <xf numFmtId="0" fontId="12" fillId="6" borderId="9" xfId="0" applyFont="1" applyFill="1" applyBorder="1" applyAlignment="1">
      <alignment horizontal="center"/>
    </xf>
    <xf numFmtId="165" fontId="0" fillId="6" borderId="17" xfId="1" applyNumberFormat="1" applyFont="1" applyFill="1" applyBorder="1" applyAlignment="1"/>
    <xf numFmtId="0" fontId="11" fillId="7" borderId="0" xfId="0" applyFont="1" applyFill="1" applyAlignment="1">
      <alignment horizontal="left" vertical="center"/>
    </xf>
    <xf numFmtId="0" fontId="11" fillId="7" borderId="0" xfId="0" applyFont="1" applyFill="1"/>
    <xf numFmtId="10" fontId="14" fillId="7" borderId="8" xfId="2" applyNumberFormat="1" applyFont="1" applyFill="1" applyBorder="1" applyAlignment="1">
      <alignment vertical="center"/>
    </xf>
    <xf numFmtId="167" fontId="14" fillId="7" borderId="9" xfId="2" applyNumberFormat="1" applyFont="1" applyFill="1" applyBorder="1" applyAlignment="1">
      <alignment horizontal="center" vertical="center"/>
    </xf>
    <xf numFmtId="167" fontId="14" fillId="7" borderId="17" xfId="2" applyNumberFormat="1" applyFont="1" applyFill="1" applyBorder="1" applyAlignment="1">
      <alignment horizontal="center" vertical="center"/>
    </xf>
    <xf numFmtId="0" fontId="11" fillId="6" borderId="0" xfId="0" applyFont="1" applyFill="1" applyAlignment="1">
      <alignment horizontal="left" vertical="center"/>
    </xf>
    <xf numFmtId="165" fontId="12" fillId="6" borderId="8" xfId="1" applyNumberFormat="1" applyFont="1" applyFill="1" applyBorder="1" applyAlignment="1">
      <alignment horizontal="right" vertical="center"/>
    </xf>
    <xf numFmtId="165" fontId="14" fillId="6" borderId="9" xfId="1" applyNumberFormat="1" applyFont="1" applyFill="1" applyBorder="1" applyAlignment="1">
      <alignment horizontal="right" vertical="center"/>
    </xf>
    <xf numFmtId="165" fontId="12" fillId="6" borderId="17" xfId="1" applyNumberFormat="1" applyFont="1" applyFill="1" applyBorder="1" applyAlignment="1">
      <alignment horizontal="right" vertical="center"/>
    </xf>
    <xf numFmtId="165" fontId="12" fillId="7" borderId="8" xfId="1" applyNumberFormat="1" applyFont="1" applyFill="1" applyBorder="1" applyAlignment="1">
      <alignment vertical="top"/>
    </xf>
    <xf numFmtId="165" fontId="14" fillId="7" borderId="9" xfId="1" applyNumberFormat="1" applyFont="1" applyFill="1" applyBorder="1" applyAlignment="1">
      <alignment vertical="top"/>
    </xf>
    <xf numFmtId="165" fontId="12" fillId="7" borderId="17" xfId="1" applyNumberFormat="1" applyFont="1" applyFill="1" applyBorder="1" applyAlignment="1">
      <alignment vertical="top"/>
    </xf>
    <xf numFmtId="0" fontId="11" fillId="10" borderId="7" xfId="0" applyFont="1" applyFill="1" applyBorder="1" applyAlignment="1">
      <alignment horizontal="center" vertical="center"/>
    </xf>
    <xf numFmtId="0" fontId="11" fillId="10" borderId="0" xfId="0" applyFont="1" applyFill="1" applyAlignment="1">
      <alignment horizontal="left" vertical="center"/>
    </xf>
    <xf numFmtId="0" fontId="11" fillId="10" borderId="0" xfId="0" applyFont="1" applyFill="1"/>
    <xf numFmtId="10" fontId="14" fillId="10" borderId="8" xfId="2" applyNumberFormat="1" applyFont="1" applyFill="1" applyBorder="1" applyAlignment="1">
      <alignment vertical="center"/>
    </xf>
    <xf numFmtId="167" fontId="14" fillId="10" borderId="9" xfId="2" applyNumberFormat="1" applyFont="1" applyFill="1" applyBorder="1" applyAlignment="1">
      <alignment horizontal="center" vertical="center"/>
    </xf>
    <xf numFmtId="167" fontId="14" fillId="10" borderId="17" xfId="2" applyNumberFormat="1" applyFont="1" applyFill="1" applyBorder="1" applyAlignment="1">
      <alignment horizontal="center" vertical="center"/>
    </xf>
    <xf numFmtId="10" fontId="14" fillId="7" borderId="9" xfId="2" applyNumberFormat="1" applyFont="1" applyFill="1" applyBorder="1" applyAlignment="1">
      <alignment horizontal="center" vertical="center"/>
    </xf>
    <xf numFmtId="10" fontId="14" fillId="7" borderId="17" xfId="2" applyNumberFormat="1" applyFont="1" applyFill="1" applyBorder="1" applyAlignment="1">
      <alignment horizontal="center" vertical="center"/>
    </xf>
    <xf numFmtId="43" fontId="12" fillId="6" borderId="8" xfId="1" applyNumberFormat="1" applyFont="1" applyFill="1" applyBorder="1" applyAlignment="1">
      <alignment horizontal="right" vertical="center"/>
    </xf>
    <xf numFmtId="43" fontId="14" fillId="6" borderId="9" xfId="0" applyNumberFormat="1" applyFont="1" applyFill="1" applyBorder="1" applyAlignment="1">
      <alignment horizontal="center"/>
    </xf>
    <xf numFmtId="0" fontId="0" fillId="6" borderId="17" xfId="0" applyFill="1" applyBorder="1"/>
    <xf numFmtId="10" fontId="7" fillId="7" borderId="8" xfId="2" applyNumberFormat="1" applyFont="1" applyFill="1" applyBorder="1" applyAlignment="1">
      <alignment vertical="center"/>
    </xf>
    <xf numFmtId="165" fontId="12" fillId="6" borderId="9" xfId="1" applyNumberFormat="1" applyFont="1" applyFill="1" applyBorder="1" applyAlignment="1">
      <alignment horizontal="right" vertical="center"/>
    </xf>
    <xf numFmtId="43" fontId="14" fillId="6" borderId="17" xfId="0" applyNumberFormat="1" applyFont="1" applyFill="1" applyBorder="1" applyAlignment="1">
      <alignment horizontal="center"/>
    </xf>
    <xf numFmtId="0" fontId="11" fillId="7" borderId="7" xfId="0" applyFont="1" applyFill="1" applyBorder="1" applyAlignment="1">
      <alignment vertical="center"/>
    </xf>
    <xf numFmtId="0" fontId="12" fillId="7" borderId="8" xfId="0" applyFont="1" applyFill="1" applyBorder="1"/>
    <xf numFmtId="0" fontId="12" fillId="7" borderId="0" xfId="0" applyFont="1" applyFill="1"/>
    <xf numFmtId="10" fontId="14" fillId="7" borderId="17" xfId="2" applyNumberFormat="1" applyFont="1" applyFill="1" applyBorder="1" applyAlignment="1">
      <alignment vertical="center"/>
    </xf>
    <xf numFmtId="0" fontId="11" fillId="6" borderId="7" xfId="0" applyFont="1" applyFill="1" applyBorder="1" applyAlignment="1">
      <alignment vertical="center"/>
    </xf>
    <xf numFmtId="10" fontId="14" fillId="6" borderId="8" xfId="2" applyNumberFormat="1" applyFont="1" applyFill="1" applyBorder="1" applyAlignment="1">
      <alignment vertical="center"/>
    </xf>
    <xf numFmtId="10" fontId="12" fillId="6" borderId="9" xfId="2" applyNumberFormat="1" applyFont="1" applyFill="1" applyBorder="1" applyAlignment="1">
      <alignment vertical="center"/>
    </xf>
    <xf numFmtId="10" fontId="12" fillId="6" borderId="17" xfId="0" applyNumberFormat="1" applyFont="1" applyFill="1" applyBorder="1" applyAlignment="1">
      <alignment horizontal="right" vertical="center"/>
    </xf>
    <xf numFmtId="10" fontId="7" fillId="7" borderId="8" xfId="0" applyNumberFormat="1" applyFont="1" applyFill="1" applyBorder="1"/>
    <xf numFmtId="10" fontId="0" fillId="7" borderId="9" xfId="0" applyNumberFormat="1" applyFill="1" applyBorder="1"/>
    <xf numFmtId="10" fontId="12" fillId="7" borderId="17" xfId="0" applyNumberFormat="1" applyFont="1" applyFill="1" applyBorder="1" applyAlignment="1">
      <alignment vertical="center"/>
    </xf>
    <xf numFmtId="0" fontId="7" fillId="5" borderId="7" xfId="0" applyFont="1" applyFill="1" applyBorder="1" applyAlignment="1">
      <alignment horizontal="center" vertical="center"/>
    </xf>
    <xf numFmtId="0" fontId="7" fillId="5" borderId="0" xfId="0" applyFont="1" applyFill="1" applyAlignment="1">
      <alignment horizontal="left" vertical="top"/>
    </xf>
    <xf numFmtId="0" fontId="7" fillId="5" borderId="0" xfId="0" applyFont="1" applyFill="1" applyAlignment="1">
      <alignment vertical="top"/>
    </xf>
    <xf numFmtId="0" fontId="0" fillId="5" borderId="0" xfId="0" applyFill="1" applyAlignment="1">
      <alignment vertical="center"/>
    </xf>
    <xf numFmtId="0" fontId="0" fillId="5" borderId="8" xfId="0" applyFill="1" applyBorder="1" applyAlignment="1">
      <alignment vertical="center"/>
    </xf>
    <xf numFmtId="0" fontId="0" fillId="5" borderId="9" xfId="0" applyFill="1" applyBorder="1" applyAlignment="1">
      <alignment vertical="center"/>
    </xf>
    <xf numFmtId="0" fontId="0" fillId="5" borderId="17" xfId="0" applyFill="1" applyBorder="1" applyAlignment="1">
      <alignment vertical="center"/>
    </xf>
    <xf numFmtId="0" fontId="11" fillId="0" borderId="7" xfId="0" applyFont="1" applyBorder="1" applyAlignment="1">
      <alignment horizontal="center" vertical="center"/>
    </xf>
    <xf numFmtId="0" fontId="11" fillId="0" borderId="0" xfId="0" quotePrefix="1" applyFont="1" applyAlignment="1">
      <alignment horizontal="left"/>
    </xf>
    <xf numFmtId="0" fontId="11" fillId="0" borderId="0" xfId="0" applyFont="1"/>
    <xf numFmtId="0" fontId="11" fillId="0" borderId="0" xfId="0" applyFont="1" applyAlignment="1">
      <alignment horizontal="center" vertical="center"/>
    </xf>
    <xf numFmtId="165" fontId="7" fillId="0" borderId="8" xfId="1" applyNumberFormat="1" applyFont="1" applyFill="1" applyBorder="1" applyAlignment="1">
      <alignment horizontal="right" vertical="center"/>
    </xf>
    <xf numFmtId="0" fontId="15" fillId="0" borderId="9" xfId="0" applyFont="1" applyBorder="1"/>
    <xf numFmtId="0" fontId="16" fillId="0" borderId="17" xfId="0" applyFont="1" applyBorder="1" applyAlignment="1">
      <alignment horizontal="left" vertical="top"/>
    </xf>
    <xf numFmtId="0" fontId="11" fillId="6" borderId="0" xfId="0" quotePrefix="1" applyFont="1" applyFill="1" applyAlignment="1">
      <alignment horizontal="left"/>
    </xf>
    <xf numFmtId="165" fontId="7" fillId="6" borderId="8" xfId="1" applyNumberFormat="1" applyFont="1" applyFill="1" applyBorder="1" applyAlignment="1">
      <alignment horizontal="right" vertical="center"/>
    </xf>
    <xf numFmtId="168" fontId="14" fillId="6" borderId="9" xfId="2" applyNumberFormat="1" applyFont="1" applyFill="1" applyBorder="1" applyAlignment="1"/>
    <xf numFmtId="168" fontId="14" fillId="6" borderId="17" xfId="2" applyNumberFormat="1" applyFont="1" applyFill="1" applyBorder="1" applyAlignment="1"/>
    <xf numFmtId="0" fontId="11" fillId="0" borderId="0" xfId="0" applyFont="1" applyAlignment="1">
      <alignment vertical="center"/>
    </xf>
    <xf numFmtId="0" fontId="7" fillId="8" borderId="18" xfId="0" applyFont="1" applyFill="1" applyBorder="1" applyAlignment="1">
      <alignment horizontal="center" vertical="center"/>
    </xf>
    <xf numFmtId="0" fontId="0" fillId="6" borderId="8" xfId="0" applyFill="1" applyBorder="1" applyAlignment="1">
      <alignment horizontal="right" vertical="center"/>
    </xf>
    <xf numFmtId="0" fontId="0" fillId="6" borderId="9" xfId="0" applyFill="1" applyBorder="1" applyAlignment="1">
      <alignment horizontal="right" vertical="center"/>
    </xf>
    <xf numFmtId="0" fontId="0" fillId="6" borderId="17" xfId="0" applyFill="1" applyBorder="1" applyAlignment="1">
      <alignment horizontal="right" vertical="center"/>
    </xf>
    <xf numFmtId="0" fontId="11" fillId="0" borderId="0" xfId="0" quotePrefix="1" applyFont="1" applyAlignment="1">
      <alignment horizontal="left" vertical="center"/>
    </xf>
    <xf numFmtId="0" fontId="11" fillId="0" borderId="0" xfId="0" applyFont="1" applyAlignment="1">
      <alignment horizontal="left" vertical="center"/>
    </xf>
    <xf numFmtId="10" fontId="7" fillId="0" borderId="8" xfId="2" applyNumberFormat="1" applyFont="1" applyFill="1" applyBorder="1" applyAlignment="1">
      <alignment horizontal="right" vertical="center"/>
    </xf>
    <xf numFmtId="167" fontId="14" fillId="0" borderId="9" xfId="2" applyNumberFormat="1" applyFont="1" applyFill="1" applyBorder="1" applyAlignment="1">
      <alignment horizontal="center" vertical="center"/>
    </xf>
    <xf numFmtId="167" fontId="14" fillId="0" borderId="17" xfId="2" applyNumberFormat="1" applyFont="1" applyFill="1" applyBorder="1" applyAlignment="1">
      <alignment horizontal="center" vertical="center"/>
    </xf>
    <xf numFmtId="165" fontId="0" fillId="6" borderId="8" xfId="1" applyNumberFormat="1" applyFont="1" applyFill="1" applyBorder="1" applyAlignment="1">
      <alignment horizontal="right" vertical="center"/>
    </xf>
    <xf numFmtId="165" fontId="0" fillId="0" borderId="8" xfId="1" applyNumberFormat="1" applyFont="1" applyFill="1" applyBorder="1" applyAlignment="1">
      <alignment horizontal="right" vertical="center"/>
    </xf>
    <xf numFmtId="0" fontId="0" fillId="0" borderId="9" xfId="0" applyBorder="1" applyAlignment="1">
      <alignment horizontal="right" vertical="center"/>
    </xf>
    <xf numFmtId="0" fontId="0" fillId="0" borderId="17" xfId="0" applyBorder="1" applyAlignment="1">
      <alignment horizontal="right" vertical="center"/>
    </xf>
    <xf numFmtId="0" fontId="11" fillId="6" borderId="0" xfId="0" applyFont="1" applyFill="1"/>
    <xf numFmtId="0" fontId="0" fillId="6" borderId="8" xfId="0" applyFill="1" applyBorder="1" applyAlignment="1">
      <alignment vertical="center"/>
    </xf>
    <xf numFmtId="0" fontId="0" fillId="6" borderId="9" xfId="0" applyFill="1" applyBorder="1" applyAlignment="1">
      <alignment vertical="center"/>
    </xf>
    <xf numFmtId="0" fontId="0" fillId="6" borderId="17" xfId="0" applyFill="1" applyBorder="1" applyAlignment="1">
      <alignment vertical="center"/>
    </xf>
    <xf numFmtId="10" fontId="7" fillId="0" borderId="8" xfId="0" applyNumberFormat="1" applyFont="1" applyBorder="1" applyAlignment="1">
      <alignment vertical="center"/>
    </xf>
    <xf numFmtId="0" fontId="0" fillId="0" borderId="9" xfId="0" applyBorder="1" applyAlignment="1">
      <alignment vertical="center"/>
    </xf>
    <xf numFmtId="0" fontId="0" fillId="0" borderId="17" xfId="0" applyBorder="1" applyAlignment="1">
      <alignment vertical="center"/>
    </xf>
    <xf numFmtId="0" fontId="7" fillId="5" borderId="0" xfId="0" applyFont="1" applyFill="1" applyAlignment="1">
      <alignment horizontal="left" vertical="center"/>
    </xf>
    <xf numFmtId="0" fontId="7" fillId="5" borderId="0" xfId="0" applyFont="1" applyFill="1" applyAlignment="1">
      <alignment vertical="center"/>
    </xf>
    <xf numFmtId="0" fontId="7" fillId="7" borderId="8" xfId="0" applyFont="1" applyFill="1" applyBorder="1" applyAlignment="1">
      <alignment horizontal="center" vertical="center"/>
    </xf>
    <xf numFmtId="0" fontId="0" fillId="7" borderId="9" xfId="0" applyFill="1" applyBorder="1" applyAlignment="1">
      <alignment horizontal="center" vertical="center"/>
    </xf>
    <xf numFmtId="0" fontId="0" fillId="7" borderId="17" xfId="0" applyFill="1" applyBorder="1" applyAlignment="1">
      <alignment horizontal="center" vertical="center"/>
    </xf>
    <xf numFmtId="0" fontId="11" fillId="7" borderId="0" xfId="0" applyFont="1" applyFill="1" applyAlignment="1">
      <alignment horizontal="right" vertical="center"/>
    </xf>
    <xf numFmtId="165" fontId="7" fillId="7" borderId="8" xfId="1" applyNumberFormat="1" applyFont="1" applyFill="1" applyBorder="1" applyAlignment="1">
      <alignment horizontal="right" vertical="center"/>
    </xf>
    <xf numFmtId="0" fontId="19" fillId="11" borderId="18" xfId="0" applyFont="1" applyFill="1" applyBorder="1" applyAlignment="1">
      <alignment horizontal="center"/>
    </xf>
    <xf numFmtId="0" fontId="7" fillId="6" borderId="17" xfId="0" applyFont="1" applyFill="1" applyBorder="1"/>
    <xf numFmtId="165" fontId="7" fillId="7" borderId="8" xfId="1" quotePrefix="1" applyNumberFormat="1" applyFont="1" applyFill="1" applyBorder="1" applyAlignment="1">
      <alignment horizontal="right" vertical="center"/>
    </xf>
    <xf numFmtId="10" fontId="7" fillId="7" borderId="9" xfId="2" applyNumberFormat="1" applyFont="1" applyFill="1" applyBorder="1" applyAlignment="1">
      <alignment horizontal="center"/>
    </xf>
    <xf numFmtId="10" fontId="7" fillId="7" borderId="17" xfId="2" applyNumberFormat="1" applyFont="1" applyFill="1" applyBorder="1" applyAlignment="1">
      <alignment horizontal="center"/>
    </xf>
    <xf numFmtId="0" fontId="0" fillId="5" borderId="17" xfId="0" applyFill="1" applyBorder="1"/>
    <xf numFmtId="0" fontId="0" fillId="7" borderId="9" xfId="0" applyFill="1" applyBorder="1" applyAlignment="1">
      <alignment vertical="center"/>
    </xf>
    <xf numFmtId="0" fontId="0" fillId="7" borderId="17" xfId="0" applyFill="1" applyBorder="1"/>
    <xf numFmtId="0" fontId="0" fillId="6" borderId="9" xfId="0" applyFill="1" applyBorder="1" applyAlignment="1">
      <alignment horizontal="left" vertical="center"/>
    </xf>
    <xf numFmtId="0" fontId="0" fillId="6" borderId="0" xfId="0" applyFill="1"/>
    <xf numFmtId="0" fontId="20" fillId="7" borderId="7" xfId="0" applyFont="1" applyFill="1" applyBorder="1" applyAlignment="1">
      <alignment horizontal="center" vertical="center"/>
    </xf>
    <xf numFmtId="165" fontId="7" fillId="12" borderId="7" xfId="1" applyNumberFormat="1" applyFont="1" applyFill="1" applyBorder="1" applyAlignment="1">
      <alignment horizontal="right" vertical="center"/>
    </xf>
    <xf numFmtId="10" fontId="7" fillId="12" borderId="17" xfId="0" applyNumberFormat="1" applyFont="1" applyFill="1" applyBorder="1" applyAlignment="1">
      <alignment horizontal="center"/>
    </xf>
    <xf numFmtId="10" fontId="7" fillId="12" borderId="0" xfId="0" applyNumberFormat="1" applyFont="1" applyFill="1" applyAlignment="1">
      <alignment horizontal="center"/>
    </xf>
    <xf numFmtId="165" fontId="7" fillId="5" borderId="7" xfId="1" applyNumberFormat="1" applyFont="1" applyFill="1" applyBorder="1" applyAlignment="1">
      <alignment horizontal="right" vertical="center"/>
    </xf>
    <xf numFmtId="10" fontId="7" fillId="5" borderId="17" xfId="0" applyNumberFormat="1" applyFont="1" applyFill="1" applyBorder="1" applyAlignment="1">
      <alignment horizontal="center"/>
    </xf>
    <xf numFmtId="165" fontId="7" fillId="5" borderId="0" xfId="1" applyNumberFormat="1" applyFont="1" applyFill="1" applyBorder="1" applyAlignment="1">
      <alignment horizontal="right" vertical="center"/>
    </xf>
    <xf numFmtId="165" fontId="0" fillId="7" borderId="7" xfId="0" applyNumberFormat="1" applyFill="1" applyBorder="1"/>
    <xf numFmtId="165" fontId="0" fillId="7" borderId="17" xfId="0" applyNumberFormat="1" applyFill="1" applyBorder="1" applyAlignment="1">
      <alignment horizontal="center"/>
    </xf>
    <xf numFmtId="0" fontId="20" fillId="6" borderId="7" xfId="0" applyFont="1" applyFill="1" applyBorder="1" applyAlignment="1">
      <alignment horizontal="center" vertical="center"/>
    </xf>
    <xf numFmtId="0" fontId="20" fillId="6" borderId="0" xfId="0" applyFont="1" applyFill="1" applyAlignment="1">
      <alignment horizontal="center" vertical="center"/>
    </xf>
    <xf numFmtId="3" fontId="11" fillId="6" borderId="0" xfId="0" applyNumberFormat="1" applyFont="1" applyFill="1"/>
    <xf numFmtId="43" fontId="0" fillId="6" borderId="7" xfId="0" applyNumberFormat="1" applyFill="1" applyBorder="1" applyAlignment="1">
      <alignment horizontal="center" vertical="center"/>
    </xf>
    <xf numFmtId="0" fontId="20" fillId="6" borderId="17" xfId="0" applyFont="1" applyFill="1" applyBorder="1" applyAlignment="1">
      <alignment horizontal="center" vertical="center"/>
    </xf>
    <xf numFmtId="0" fontId="0" fillId="7" borderId="0" xfId="0" applyFill="1"/>
    <xf numFmtId="43" fontId="0" fillId="7" borderId="7" xfId="0" applyNumberFormat="1" applyFill="1" applyBorder="1"/>
    <xf numFmtId="0" fontId="11" fillId="6" borderId="17" xfId="0" applyFont="1" applyFill="1" applyBorder="1"/>
    <xf numFmtId="165" fontId="13" fillId="6" borderId="7" xfId="1" applyNumberFormat="1" applyFont="1" applyFill="1" applyBorder="1" applyAlignment="1">
      <alignment horizontal="right" vertical="center"/>
    </xf>
    <xf numFmtId="165" fontId="0" fillId="6" borderId="17" xfId="0" applyNumberFormat="1" applyFill="1" applyBorder="1" applyAlignment="1">
      <alignment horizontal="center"/>
    </xf>
    <xf numFmtId="43" fontId="11" fillId="7" borderId="0" xfId="0" applyNumberFormat="1" applyFont="1" applyFill="1"/>
    <xf numFmtId="3" fontId="11" fillId="7" borderId="0" xfId="0" applyNumberFormat="1" applyFont="1" applyFill="1"/>
    <xf numFmtId="165" fontId="13" fillId="7" borderId="7" xfId="1" applyNumberFormat="1" applyFont="1" applyFill="1" applyBorder="1" applyAlignment="1">
      <alignment horizontal="right" vertical="center"/>
    </xf>
    <xf numFmtId="10" fontId="0" fillId="7" borderId="17" xfId="0" applyNumberFormat="1" applyFill="1" applyBorder="1" applyAlignment="1">
      <alignment horizontal="center"/>
    </xf>
    <xf numFmtId="43" fontId="11" fillId="6" borderId="0" xfId="0" applyNumberFormat="1" applyFont="1" applyFill="1"/>
    <xf numFmtId="10" fontId="0" fillId="6" borderId="17" xfId="0" applyNumberFormat="1" applyFill="1" applyBorder="1" applyAlignment="1">
      <alignment horizontal="center"/>
    </xf>
    <xf numFmtId="0" fontId="20" fillId="7" borderId="7" xfId="0" applyFont="1" applyFill="1" applyBorder="1" applyAlignment="1">
      <alignment vertical="center"/>
    </xf>
    <xf numFmtId="0" fontId="20" fillId="7" borderId="0" xfId="0" applyFont="1" applyFill="1" applyAlignment="1">
      <alignment vertical="center"/>
    </xf>
    <xf numFmtId="0" fontId="20" fillId="7" borderId="17" xfId="0" applyFont="1" applyFill="1" applyBorder="1" applyAlignment="1">
      <alignment vertical="center"/>
    </xf>
    <xf numFmtId="0" fontId="0" fillId="6" borderId="7" xfId="0" applyFill="1" applyBorder="1"/>
    <xf numFmtId="10" fontId="7" fillId="6" borderId="7" xfId="2" applyNumberFormat="1" applyFont="1" applyFill="1" applyBorder="1" applyAlignment="1"/>
    <xf numFmtId="0" fontId="20" fillId="5" borderId="7" xfId="0" applyFont="1" applyFill="1" applyBorder="1" applyAlignment="1">
      <alignment horizontal="center" vertical="center"/>
    </xf>
    <xf numFmtId="43" fontId="20" fillId="5" borderId="0" xfId="0" applyNumberFormat="1" applyFont="1" applyFill="1"/>
    <xf numFmtId="3" fontId="11" fillId="5" borderId="0" xfId="0" applyNumberFormat="1" applyFont="1" applyFill="1"/>
    <xf numFmtId="165" fontId="13" fillId="5" borderId="7" xfId="1" applyNumberFormat="1" applyFont="1" applyFill="1" applyBorder="1" applyAlignment="1">
      <alignment horizontal="right" vertical="center"/>
    </xf>
    <xf numFmtId="10" fontId="0" fillId="5" borderId="17" xfId="0" applyNumberFormat="1" applyFill="1" applyBorder="1" applyAlignment="1">
      <alignment horizontal="center"/>
    </xf>
    <xf numFmtId="10" fontId="7" fillId="6" borderId="19" xfId="2" applyNumberFormat="1" applyFont="1" applyFill="1" applyBorder="1" applyAlignment="1">
      <alignment horizontal="right" vertical="center"/>
    </xf>
    <xf numFmtId="10" fontId="0" fillId="6" borderId="20" xfId="0" applyNumberFormat="1" applyFill="1" applyBorder="1" applyAlignment="1">
      <alignment horizontal="center"/>
    </xf>
    <xf numFmtId="10" fontId="13" fillId="7" borderId="7" xfId="2" applyNumberFormat="1" applyFont="1" applyFill="1" applyBorder="1" applyAlignment="1">
      <alignment vertical="center"/>
    </xf>
    <xf numFmtId="10" fontId="13" fillId="7" borderId="0" xfId="2" applyNumberFormat="1" applyFont="1" applyFill="1" applyBorder="1" applyAlignment="1">
      <alignment vertical="center"/>
    </xf>
    <xf numFmtId="10" fontId="13" fillId="7" borderId="17" xfId="2" applyNumberFormat="1" applyFont="1" applyFill="1" applyBorder="1" applyAlignment="1">
      <alignment vertical="center"/>
    </xf>
    <xf numFmtId="10" fontId="13" fillId="6" borderId="7" xfId="2" applyNumberFormat="1" applyFont="1" applyFill="1" applyBorder="1" applyAlignment="1">
      <alignment vertical="center"/>
    </xf>
    <xf numFmtId="164" fontId="13" fillId="6" borderId="17" xfId="2" applyNumberFormat="1" applyFont="1" applyFill="1" applyBorder="1" applyAlignment="1">
      <alignment vertical="center"/>
    </xf>
    <xf numFmtId="0" fontId="11" fillId="7" borderId="17" xfId="0" applyFont="1" applyFill="1" applyBorder="1"/>
    <xf numFmtId="164" fontId="7" fillId="7" borderId="17" xfId="2" applyNumberFormat="1" applyFont="1" applyFill="1" applyBorder="1" applyAlignment="1">
      <alignment vertical="center"/>
    </xf>
    <xf numFmtId="10" fontId="13" fillId="7" borderId="0" xfId="2" applyNumberFormat="1" applyFont="1" applyFill="1" applyBorder="1" applyAlignment="1">
      <alignment horizontal="center" vertical="center"/>
    </xf>
    <xf numFmtId="10" fontId="13" fillId="7" borderId="17" xfId="2" applyNumberFormat="1" applyFont="1" applyFill="1" applyBorder="1" applyAlignment="1">
      <alignment horizontal="center" vertical="center"/>
    </xf>
    <xf numFmtId="0" fontId="20" fillId="6" borderId="19" xfId="0" applyFont="1" applyFill="1" applyBorder="1" applyAlignment="1">
      <alignment horizontal="center" vertical="center"/>
    </xf>
    <xf numFmtId="43" fontId="11" fillId="6" borderId="21" xfId="0" applyNumberFormat="1" applyFont="1" applyFill="1" applyBorder="1"/>
    <xf numFmtId="3" fontId="11" fillId="6" borderId="21" xfId="0" applyNumberFormat="1" applyFont="1" applyFill="1" applyBorder="1"/>
    <xf numFmtId="10" fontId="12" fillId="6" borderId="19" xfId="2" applyNumberFormat="1" applyFont="1" applyFill="1" applyBorder="1" applyAlignment="1">
      <alignment vertical="center"/>
    </xf>
    <xf numFmtId="164" fontId="13" fillId="6" borderId="20" xfId="2" applyNumberFormat="1" applyFont="1" applyFill="1" applyBorder="1" applyAlignment="1">
      <alignment horizontal="center" vertical="center"/>
    </xf>
    <xf numFmtId="169" fontId="21" fillId="0" borderId="0" xfId="0" applyNumberFormat="1" applyFont="1" applyAlignment="1">
      <alignment horizontal="left" vertical="top"/>
    </xf>
    <xf numFmtId="43" fontId="21" fillId="0" borderId="0" xfId="1" applyNumberFormat="1" applyFont="1" applyFill="1" applyBorder="1" applyAlignment="1">
      <alignment horizontal="left" vertical="top"/>
    </xf>
    <xf numFmtId="0" fontId="22" fillId="12" borderId="0" xfId="0" applyFont="1" applyFill="1" applyAlignment="1">
      <alignment horizontal="left" vertical="center"/>
    </xf>
    <xf numFmtId="164" fontId="23" fillId="0" borderId="0" xfId="2" applyNumberFormat="1" applyFont="1" applyFill="1" applyBorder="1" applyAlignment="1">
      <alignment horizontal="left" vertical="top" indent="5"/>
    </xf>
    <xf numFmtId="169" fontId="21" fillId="12" borderId="0" xfId="0" applyNumberFormat="1" applyFont="1" applyFill="1" applyAlignment="1">
      <alignment horizontal="left"/>
    </xf>
    <xf numFmtId="169" fontId="22" fillId="12" borderId="0" xfId="0" applyNumberFormat="1" applyFont="1" applyFill="1" applyAlignment="1">
      <alignment horizontal="left"/>
    </xf>
    <xf numFmtId="165" fontId="22" fillId="0" borderId="0" xfId="0" applyNumberFormat="1" applyFont="1" applyAlignment="1">
      <alignment horizontal="left" vertical="top"/>
    </xf>
    <xf numFmtId="170" fontId="22" fillId="12" borderId="0" xfId="0" applyNumberFormat="1" applyFont="1" applyFill="1" applyAlignment="1">
      <alignment horizontal="left"/>
    </xf>
    <xf numFmtId="0" fontId="22" fillId="0" borderId="0" xfId="0" applyFont="1" applyAlignment="1">
      <alignment horizontal="left" vertical="top"/>
    </xf>
    <xf numFmtId="170" fontId="22" fillId="12" borderId="0" xfId="0" applyNumberFormat="1" applyFont="1" applyFill="1"/>
    <xf numFmtId="170" fontId="22" fillId="12" borderId="0" xfId="0" applyNumberFormat="1" applyFont="1" applyFill="1" applyAlignment="1">
      <alignment vertical="center"/>
    </xf>
    <xf numFmtId="170" fontId="22" fillId="12" borderId="0" xfId="0" applyNumberFormat="1" applyFont="1" applyFill="1" applyAlignment="1">
      <alignment vertical="center" wrapText="1"/>
    </xf>
    <xf numFmtId="0" fontId="30" fillId="11" borderId="18" xfId="0" applyFont="1" applyFill="1" applyBorder="1" applyAlignment="1">
      <alignment horizontal="center" vertical="center"/>
    </xf>
    <xf numFmtId="171" fontId="31" fillId="0" borderId="0" xfId="1" applyNumberFormat="1" applyFont="1" applyFill="1" applyBorder="1" applyAlignment="1">
      <alignment vertical="center"/>
    </xf>
    <xf numFmtId="165" fontId="0" fillId="0" borderId="0" xfId="0" applyNumberFormat="1"/>
    <xf numFmtId="0" fontId="32" fillId="0" borderId="0" xfId="0" applyFont="1"/>
    <xf numFmtId="171" fontId="0" fillId="0" borderId="0" xfId="0" applyNumberFormat="1"/>
    <xf numFmtId="169" fontId="0" fillId="0" borderId="0" xfId="0" applyNumberFormat="1"/>
    <xf numFmtId="170" fontId="0" fillId="0" borderId="0" xfId="0" applyNumberFormat="1"/>
    <xf numFmtId="22" fontId="0" fillId="0" borderId="0" xfId="0" applyNumberFormat="1"/>
    <xf numFmtId="15" fontId="0" fillId="0" borderId="0" xfId="0" applyNumberFormat="1"/>
    <xf numFmtId="170" fontId="7" fillId="0" borderId="0" xfId="0" applyNumberFormat="1" applyFont="1"/>
    <xf numFmtId="0" fontId="19" fillId="0" borderId="18" xfId="0" applyFont="1" applyBorder="1" applyAlignment="1">
      <alignment horizontal="center"/>
    </xf>
    <xf numFmtId="0" fontId="0" fillId="0" borderId="18" xfId="0" applyBorder="1"/>
    <xf numFmtId="43" fontId="0" fillId="0" borderId="18" xfId="0" applyNumberFormat="1" applyBorder="1"/>
    <xf numFmtId="3" fontId="0" fillId="0" borderId="18" xfId="0" applyNumberFormat="1" applyBorder="1"/>
    <xf numFmtId="165" fontId="0" fillId="0" borderId="18" xfId="1" applyNumberFormat="1" applyFont="1" applyBorder="1"/>
    <xf numFmtId="10" fontId="2" fillId="0" borderId="18" xfId="2" applyNumberFormat="1" applyFont="1" applyBorder="1"/>
    <xf numFmtId="0" fontId="0" fillId="0" borderId="0" xfId="0" applyAlignment="1">
      <alignment horizontal="center" wrapText="1"/>
    </xf>
    <xf numFmtId="170" fontId="7" fillId="5" borderId="0" xfId="0" applyNumberFormat="1" applyFont="1" applyFill="1" applyAlignment="1">
      <alignment horizontal="center"/>
    </xf>
    <xf numFmtId="0" fontId="0" fillId="0" borderId="0" xfId="0" applyAlignment="1">
      <alignment horizontal="center"/>
    </xf>
    <xf numFmtId="41" fontId="13" fillId="6" borderId="0" xfId="3" applyFont="1" applyFill="1" applyBorder="1" applyAlignment="1">
      <alignment horizontal="center" vertical="center"/>
    </xf>
    <xf numFmtId="41" fontId="7" fillId="12" borderId="0" xfId="3" applyFont="1" applyFill="1" applyBorder="1" applyAlignment="1">
      <alignment horizontal="right" vertical="center"/>
    </xf>
    <xf numFmtId="10" fontId="0" fillId="0" borderId="0" xfId="2" applyNumberFormat="1" applyFont="1" applyFill="1" applyBorder="1" applyAlignment="1">
      <alignment vertical="center"/>
    </xf>
    <xf numFmtId="41" fontId="7" fillId="12" borderId="0" xfId="3" applyFont="1" applyFill="1" applyBorder="1" applyAlignment="1">
      <alignment horizontal="center" vertical="center"/>
    </xf>
    <xf numFmtId="10" fontId="7" fillId="7" borderId="0" xfId="2" applyNumberFormat="1" applyFont="1" applyFill="1" applyBorder="1" applyAlignment="1">
      <alignment horizontal="center" vertical="center"/>
    </xf>
    <xf numFmtId="0" fontId="7" fillId="5" borderId="0" xfId="0" applyFont="1" applyFill="1"/>
    <xf numFmtId="170" fontId="7" fillId="5" borderId="0" xfId="0" applyNumberFormat="1" applyFont="1" applyFill="1" applyAlignment="1">
      <alignment horizontal="center" wrapText="1"/>
    </xf>
    <xf numFmtId="0" fontId="12" fillId="0" borderId="0" xfId="0" applyFont="1"/>
    <xf numFmtId="41" fontId="7" fillId="7" borderId="0" xfId="3" applyFont="1" applyFill="1" applyBorder="1" applyAlignment="1">
      <alignment horizontal="center" vertical="center"/>
    </xf>
    <xf numFmtId="0" fontId="7" fillId="6" borderId="0" xfId="0" applyFont="1" applyFill="1" applyAlignment="1">
      <alignment horizontal="center" vertical="center"/>
    </xf>
    <xf numFmtId="0" fontId="0" fillId="6" borderId="0" xfId="0" applyFill="1" applyAlignment="1">
      <alignment horizontal="left" vertical="top"/>
    </xf>
    <xf numFmtId="41" fontId="13" fillId="6" borderId="0" xfId="3" applyFont="1" applyFill="1" applyBorder="1" applyAlignment="1">
      <alignment horizontal="right" indent="5"/>
    </xf>
    <xf numFmtId="41" fontId="14" fillId="7" borderId="0" xfId="3" applyFont="1" applyFill="1" applyBorder="1" applyAlignment="1">
      <alignment horizontal="center" vertical="center"/>
    </xf>
    <xf numFmtId="0" fontId="0" fillId="12" borderId="0" xfId="0" applyFill="1" applyAlignment="1">
      <alignment horizontal="center" vertical="center"/>
    </xf>
    <xf numFmtId="0" fontId="0" fillId="12" borderId="0" xfId="0" applyFill="1" applyAlignment="1">
      <alignment horizontal="left" vertical="top"/>
    </xf>
    <xf numFmtId="41" fontId="7" fillId="12" borderId="0" xfId="3" applyFont="1" applyFill="1" applyBorder="1" applyAlignment="1">
      <alignment horizontal="center"/>
    </xf>
    <xf numFmtId="10" fontId="7" fillId="6" borderId="0" xfId="3" applyNumberFormat="1" applyFont="1" applyFill="1" applyBorder="1" applyAlignment="1">
      <alignment horizontal="center" vertical="center"/>
    </xf>
    <xf numFmtId="0" fontId="0" fillId="0" borderId="0" xfId="0" applyAlignment="1">
      <alignment horizontal="left" vertical="top"/>
    </xf>
    <xf numFmtId="41" fontId="7" fillId="12" borderId="0" xfId="3" applyFont="1" applyFill="1" applyBorder="1" applyAlignment="1">
      <alignment horizontal="right"/>
    </xf>
    <xf numFmtId="0" fontId="0" fillId="0" borderId="0" xfId="0" applyAlignment="1">
      <alignment horizontal="right"/>
    </xf>
    <xf numFmtId="41" fontId="0" fillId="0" borderId="0" xfId="3" applyFont="1" applyFill="1" applyBorder="1" applyAlignment="1">
      <alignment vertical="center"/>
    </xf>
    <xf numFmtId="0" fontId="0" fillId="7" borderId="0" xfId="0" applyFill="1" applyAlignment="1">
      <alignment horizontal="center" vertical="center"/>
    </xf>
    <xf numFmtId="0" fontId="0" fillId="7" borderId="0" xfId="0" applyFill="1" applyAlignment="1">
      <alignment horizontal="left" vertical="top"/>
    </xf>
    <xf numFmtId="170" fontId="7" fillId="5" borderId="0" xfId="0" applyNumberFormat="1" applyFont="1" applyFill="1"/>
    <xf numFmtId="0" fontId="7" fillId="0" borderId="0" xfId="0" applyFont="1"/>
    <xf numFmtId="41" fontId="7" fillId="7" borderId="0" xfId="3" applyFont="1" applyFill="1" applyBorder="1" applyAlignment="1">
      <alignment horizontal="right" vertical="center"/>
    </xf>
    <xf numFmtId="0" fontId="0" fillId="6" borderId="0" xfId="0" applyFill="1" applyAlignment="1">
      <alignment horizontal="center" vertical="center"/>
    </xf>
    <xf numFmtId="10" fontId="7" fillId="6" borderId="0" xfId="3" applyNumberFormat="1" applyFont="1" applyFill="1" applyBorder="1" applyAlignment="1">
      <alignment horizontal="right"/>
    </xf>
    <xf numFmtId="41" fontId="7" fillId="6" borderId="0" xfId="3" applyFont="1" applyFill="1" applyBorder="1" applyAlignment="1">
      <alignment horizontal="right" vertical="center"/>
    </xf>
    <xf numFmtId="41" fontId="0" fillId="7" borderId="0" xfId="3" applyFont="1" applyFill="1" applyBorder="1" applyAlignment="1">
      <alignment horizontal="right" vertical="center"/>
    </xf>
    <xf numFmtId="165" fontId="7" fillId="0" borderId="0" xfId="0" applyNumberFormat="1" applyFont="1" applyAlignment="1">
      <alignment horizontal="right"/>
    </xf>
    <xf numFmtId="41" fontId="0" fillId="6" borderId="0" xfId="3" applyFont="1" applyFill="1" applyBorder="1" applyAlignment="1">
      <alignment horizontal="right" vertical="center"/>
    </xf>
    <xf numFmtId="0" fontId="7" fillId="5" borderId="0" xfId="0" applyFont="1" applyFill="1" applyAlignment="1">
      <alignment horizontal="center"/>
    </xf>
    <xf numFmtId="41" fontId="7" fillId="6" borderId="0" xfId="3" applyFont="1" applyFill="1" applyBorder="1" applyAlignment="1">
      <alignment horizontal="right"/>
    </xf>
    <xf numFmtId="172" fontId="0" fillId="0" borderId="0" xfId="0" applyNumberFormat="1"/>
    <xf numFmtId="172" fontId="0" fillId="6" borderId="0" xfId="0" applyNumberFormat="1" applyFill="1"/>
    <xf numFmtId="41" fontId="0" fillId="6" borderId="0" xfId="3" applyFont="1" applyFill="1" applyBorder="1" applyAlignment="1">
      <alignment horizontal="right"/>
    </xf>
    <xf numFmtId="173" fontId="7" fillId="7" borderId="0" xfId="2" applyNumberFormat="1" applyFont="1" applyFill="1" applyBorder="1" applyAlignment="1">
      <alignment vertical="center"/>
    </xf>
    <xf numFmtId="165" fontId="0" fillId="6" borderId="0" xfId="0" applyNumberFormat="1" applyFill="1"/>
    <xf numFmtId="0" fontId="12" fillId="13" borderId="0" xfId="0" applyFont="1" applyFill="1" applyAlignment="1">
      <alignment horizontal="center"/>
    </xf>
    <xf numFmtId="165" fontId="5" fillId="0" borderId="0" xfId="0" applyNumberFormat="1" applyFont="1"/>
    <xf numFmtId="165" fontId="7" fillId="6" borderId="8" xfId="1" applyNumberFormat="1" applyFont="1" applyFill="1" applyBorder="1" applyAlignment="1">
      <alignment horizontal="center" vertical="center"/>
    </xf>
    <xf numFmtId="10" fontId="14" fillId="6" borderId="9" xfId="2" applyNumberFormat="1" applyFont="1" applyFill="1" applyBorder="1" applyAlignment="1">
      <alignment horizontal="right" vertical="center"/>
    </xf>
    <xf numFmtId="165" fontId="7" fillId="7" borderId="8" xfId="1" applyNumberFormat="1" applyFont="1" applyFill="1" applyBorder="1" applyAlignment="1">
      <alignment horizontal="center" vertical="center"/>
    </xf>
    <xf numFmtId="0" fontId="19" fillId="12" borderId="18" xfId="0" applyFont="1" applyFill="1" applyBorder="1" applyAlignment="1">
      <alignment horizontal="center"/>
    </xf>
    <xf numFmtId="0" fontId="19" fillId="9" borderId="18" xfId="0" applyFont="1" applyFill="1" applyBorder="1" applyAlignment="1">
      <alignment horizontal="center"/>
    </xf>
    <xf numFmtId="10" fontId="14" fillId="10" borderId="9" xfId="2" applyNumberFormat="1" applyFont="1" applyFill="1" applyBorder="1" applyAlignment="1">
      <alignment horizontal="center" vertical="center"/>
    </xf>
    <xf numFmtId="10" fontId="14" fillId="10" borderId="17" xfId="2" applyNumberFormat="1" applyFont="1" applyFill="1" applyBorder="1" applyAlignment="1">
      <alignment horizontal="center" vertical="center"/>
    </xf>
    <xf numFmtId="0" fontId="19" fillId="8" borderId="18" xfId="0" applyFont="1" applyFill="1" applyBorder="1" applyAlignment="1">
      <alignment horizontal="center" vertical="center"/>
    </xf>
    <xf numFmtId="0" fontId="19" fillId="9" borderId="18" xfId="0" applyFont="1" applyFill="1" applyBorder="1" applyAlignment="1">
      <alignment horizontal="center" vertical="center"/>
    </xf>
    <xf numFmtId="10" fontId="7" fillId="6" borderId="7" xfId="0" applyNumberFormat="1" applyFont="1" applyFill="1" applyBorder="1"/>
    <xf numFmtId="10" fontId="14" fillId="7" borderId="7" xfId="0" applyNumberFormat="1" applyFont="1" applyFill="1" applyBorder="1" applyAlignment="1">
      <alignment horizontal="center"/>
    </xf>
    <xf numFmtId="166" fontId="10" fillId="4" borderId="10" xfId="0" applyNumberFormat="1" applyFont="1" applyFill="1" applyBorder="1" applyAlignment="1">
      <alignment vertical="center"/>
    </xf>
    <xf numFmtId="166" fontId="10" fillId="4" borderId="11" xfId="0" applyNumberFormat="1" applyFont="1" applyFill="1" applyBorder="1" applyAlignment="1">
      <alignment vertical="center"/>
    </xf>
    <xf numFmtId="0" fontId="12" fillId="6" borderId="17" xfId="0" applyFont="1" applyFill="1" applyBorder="1"/>
    <xf numFmtId="165" fontId="7" fillId="7" borderId="7" xfId="1" applyNumberFormat="1" applyFont="1" applyFill="1" applyBorder="1" applyAlignment="1">
      <alignment vertical="center" wrapText="1"/>
    </xf>
    <xf numFmtId="165" fontId="7" fillId="7" borderId="17" xfId="1" applyNumberFormat="1" applyFont="1" applyFill="1" applyBorder="1" applyAlignment="1">
      <alignment vertical="center" wrapText="1"/>
    </xf>
    <xf numFmtId="10" fontId="14" fillId="7" borderId="17" xfId="0" applyNumberFormat="1" applyFont="1" applyFill="1" applyBorder="1"/>
    <xf numFmtId="166" fontId="10" fillId="4" borderId="12" xfId="0" quotePrefix="1" applyNumberFormat="1" applyFont="1" applyFill="1" applyBorder="1" applyAlignment="1">
      <alignment horizontal="center" vertical="center"/>
    </xf>
    <xf numFmtId="166" fontId="10" fillId="4" borderId="16" xfId="0" quotePrefix="1" applyNumberFormat="1" applyFont="1" applyFill="1" applyBorder="1" applyAlignment="1">
      <alignment horizontal="center" vertical="center"/>
    </xf>
    <xf numFmtId="0" fontId="26" fillId="12" borderId="12" xfId="0" applyFont="1" applyFill="1" applyBorder="1" applyAlignment="1">
      <alignment horizontal="left" vertical="top" wrapText="1"/>
    </xf>
    <xf numFmtId="0" fontId="26" fillId="12" borderId="13" xfId="0" applyFont="1" applyFill="1" applyBorder="1" applyAlignment="1">
      <alignment horizontal="left" vertical="top" wrapText="1"/>
    </xf>
    <xf numFmtId="0" fontId="26" fillId="12" borderId="16" xfId="0" applyFont="1" applyFill="1" applyBorder="1" applyAlignment="1">
      <alignment horizontal="left" vertical="top" wrapText="1"/>
    </xf>
    <xf numFmtId="0" fontId="26" fillId="12" borderId="7" xfId="0" applyFont="1" applyFill="1" applyBorder="1" applyAlignment="1">
      <alignment horizontal="left" vertical="top" wrapText="1"/>
    </xf>
    <xf numFmtId="0" fontId="26" fillId="12" borderId="0" xfId="0" applyFont="1" applyFill="1" applyAlignment="1">
      <alignment horizontal="left" vertical="top" wrapText="1"/>
    </xf>
    <xf numFmtId="0" fontId="26" fillId="12" borderId="17" xfId="0" applyFont="1" applyFill="1" applyBorder="1" applyAlignment="1">
      <alignment horizontal="left" vertical="top" wrapText="1"/>
    </xf>
    <xf numFmtId="0" fontId="26" fillId="12" borderId="19" xfId="0" applyFont="1" applyFill="1" applyBorder="1" applyAlignment="1">
      <alignment horizontal="left" vertical="top" wrapText="1"/>
    </xf>
    <xf numFmtId="0" fontId="26" fillId="12" borderId="21" xfId="0" applyFont="1" applyFill="1" applyBorder="1" applyAlignment="1">
      <alignment horizontal="left" vertical="top" wrapText="1"/>
    </xf>
    <xf numFmtId="0" fontId="26" fillId="12" borderId="20" xfId="0" applyFont="1" applyFill="1" applyBorder="1" applyAlignment="1">
      <alignment horizontal="left" vertical="top" wrapText="1"/>
    </xf>
    <xf numFmtId="10" fontId="14" fillId="7" borderId="7" xfId="2" applyNumberFormat="1" applyFont="1" applyFill="1" applyBorder="1" applyAlignment="1">
      <alignment horizontal="center"/>
    </xf>
    <xf numFmtId="10" fontId="14" fillId="7" borderId="17" xfId="2" applyNumberFormat="1" applyFont="1" applyFill="1" applyBorder="1" applyAlignment="1">
      <alignment horizontal="center"/>
    </xf>
    <xf numFmtId="10" fontId="14" fillId="7" borderId="7" xfId="0" applyNumberFormat="1" applyFont="1" applyFill="1" applyBorder="1" applyAlignment="1">
      <alignment horizontal="center"/>
    </xf>
    <xf numFmtId="10" fontId="14" fillId="7" borderId="17" xfId="0" applyNumberFormat="1" applyFont="1" applyFill="1" applyBorder="1" applyAlignment="1">
      <alignment horizontal="center"/>
    </xf>
    <xf numFmtId="165" fontId="7" fillId="7" borderId="7" xfId="1" applyNumberFormat="1" applyFont="1" applyFill="1" applyBorder="1" applyAlignment="1">
      <alignment horizontal="center" vertical="center" wrapText="1"/>
    </xf>
    <xf numFmtId="165" fontId="7" fillId="7" borderId="17" xfId="1" applyNumberFormat="1" applyFont="1" applyFill="1" applyBorder="1" applyAlignment="1">
      <alignment horizontal="center" vertical="center" wrapText="1"/>
    </xf>
    <xf numFmtId="0" fontId="8" fillId="2" borderId="1" xfId="0" applyFont="1" applyFill="1" applyBorder="1" applyAlignment="1">
      <alignment horizontal="center" vertical="center"/>
    </xf>
    <xf numFmtId="0" fontId="8" fillId="2" borderId="2" xfId="0" applyFont="1" applyFill="1" applyBorder="1" applyAlignment="1">
      <alignment horizontal="center" vertical="center"/>
    </xf>
    <xf numFmtId="0" fontId="8" fillId="2" borderId="3" xfId="0" applyFont="1" applyFill="1" applyBorder="1" applyAlignment="1">
      <alignment horizontal="center" vertical="center"/>
    </xf>
    <xf numFmtId="0" fontId="9" fillId="3" borderId="4" xfId="0" applyFont="1" applyFill="1" applyBorder="1" applyAlignment="1">
      <alignment horizontal="center" vertical="center"/>
    </xf>
    <xf numFmtId="0" fontId="9" fillId="3" borderId="5" xfId="0" applyFont="1" applyFill="1" applyBorder="1" applyAlignment="1">
      <alignment horizontal="center" vertical="center"/>
    </xf>
    <xf numFmtId="0" fontId="9" fillId="3" borderId="6" xfId="0" applyFont="1" applyFill="1" applyBorder="1" applyAlignment="1">
      <alignment horizontal="center" vertical="center"/>
    </xf>
    <xf numFmtId="166" fontId="10" fillId="4" borderId="8" xfId="0" applyNumberFormat="1" applyFont="1" applyFill="1" applyBorder="1" applyAlignment="1">
      <alignment horizontal="center" vertical="center"/>
    </xf>
    <xf numFmtId="166" fontId="10" fillId="4" borderId="9" xfId="0" applyNumberFormat="1" applyFont="1" applyFill="1" applyBorder="1" applyAlignment="1">
      <alignment horizontal="center" vertical="center"/>
    </xf>
    <xf numFmtId="166" fontId="10" fillId="4" borderId="10" xfId="0" applyNumberFormat="1" applyFont="1" applyFill="1" applyBorder="1" applyAlignment="1">
      <alignment horizontal="center" vertical="center"/>
    </xf>
    <xf numFmtId="166" fontId="10" fillId="4" borderId="11" xfId="0" applyNumberFormat="1" applyFont="1" applyFill="1" applyBorder="1" applyAlignment="1">
      <alignment horizontal="center" vertical="center"/>
    </xf>
    <xf numFmtId="0" fontId="12" fillId="6" borderId="8" xfId="0" applyFont="1" applyFill="1" applyBorder="1" applyAlignment="1">
      <alignment horizontal="center"/>
    </xf>
    <xf numFmtId="0" fontId="12" fillId="6" borderId="9" xfId="0" applyFont="1" applyFill="1" applyBorder="1" applyAlignment="1">
      <alignment horizontal="center"/>
    </xf>
    <xf numFmtId="0" fontId="12" fillId="6" borderId="17" xfId="0" applyFont="1" applyFill="1" applyBorder="1" applyAlignment="1">
      <alignment horizontal="center"/>
    </xf>
    <xf numFmtId="166" fontId="10" fillId="4" borderId="12" xfId="0" quotePrefix="1" applyNumberFormat="1" applyFont="1" applyFill="1" applyBorder="1" applyAlignment="1">
      <alignment vertical="center"/>
    </xf>
    <xf numFmtId="166" fontId="10" fillId="4" borderId="16" xfId="0" quotePrefix="1" applyNumberFormat="1" applyFont="1" applyFill="1" applyBorder="1" applyAlignment="1">
      <alignment vertical="center"/>
    </xf>
  </cellXfs>
  <cellStyles count="4">
    <cellStyle name="Comma" xfId="1" builtinId="3"/>
    <cellStyle name="Comma [0] 31" xfId="3" xr:uid="{00000000-0005-0000-0000-000001000000}"/>
    <cellStyle name="Normal" xfId="0" builtinId="0"/>
    <cellStyle name="Percent 26" xfId="2" xr:uid="{00000000-0005-0000-0000-000003000000}"/>
  </cellStyles>
  <dxfs count="52">
    <dxf>
      <fill>
        <patternFill>
          <bgColor rgb="FFFFFF00"/>
        </patternFill>
      </fill>
    </dxf>
    <dxf>
      <fill>
        <patternFill>
          <bgColor rgb="FF00B050"/>
        </patternFill>
      </fill>
    </dxf>
    <dxf>
      <fill>
        <patternFill>
          <bgColor rgb="FFFF0000"/>
        </patternFill>
      </fill>
    </dxf>
    <dxf>
      <font>
        <color theme="0"/>
      </font>
      <fill>
        <patternFill>
          <bgColor rgb="FF00B050"/>
        </patternFill>
      </fill>
    </dxf>
    <dxf>
      <fill>
        <patternFill>
          <bgColor rgb="FF00FF00"/>
        </patternFill>
      </fill>
    </dxf>
    <dxf>
      <fill>
        <patternFill>
          <bgColor rgb="FFFFFF00"/>
        </patternFill>
      </fill>
    </dxf>
    <dxf>
      <fill>
        <patternFill>
          <bgColor rgb="FFFFC000"/>
        </patternFill>
      </fill>
    </dxf>
    <dxf>
      <fill>
        <patternFill>
          <bgColor rgb="FFFF0000"/>
        </patternFill>
      </fill>
    </dxf>
    <dxf>
      <font>
        <color theme="0"/>
      </font>
      <fill>
        <patternFill>
          <bgColor theme="6" tint="-0.499984740745262"/>
        </patternFill>
      </fill>
    </dxf>
    <dxf>
      <fill>
        <patternFill>
          <bgColor rgb="FF92D050"/>
        </patternFill>
      </fill>
    </dxf>
    <dxf>
      <fill>
        <patternFill>
          <bgColor rgb="FFFFFF00"/>
        </patternFill>
      </fill>
    </dxf>
    <dxf>
      <fill>
        <patternFill>
          <bgColor rgb="FFFFC00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theme="6" tint="-0.499984740745262"/>
        </patternFill>
      </fill>
    </dxf>
    <dxf>
      <fill>
        <patternFill>
          <bgColor rgb="FF92D05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00FF00"/>
        </patternFill>
      </fill>
    </dxf>
    <dxf>
      <fill>
        <patternFill>
          <bgColor rgb="FFFFFF00"/>
        </patternFill>
      </fill>
    </dxf>
    <dxf>
      <fill>
        <patternFill>
          <bgColor rgb="FFFFC000"/>
        </patternFill>
      </fill>
    </dxf>
    <dxf>
      <fill>
        <patternFill>
          <bgColor rgb="FFFF0000"/>
        </patternFill>
      </fill>
    </dxf>
    <dxf>
      <fill>
        <patternFill>
          <bgColor rgb="FFFFFF00"/>
        </patternFill>
      </fill>
    </dxf>
    <dxf>
      <fill>
        <patternFill>
          <bgColor rgb="FF00B050"/>
        </patternFill>
      </fill>
    </dxf>
    <dxf>
      <fill>
        <patternFill>
          <bgColor rgb="FFFF0000"/>
        </patternFill>
      </fill>
    </dxf>
    <dxf>
      <font>
        <color theme="0"/>
      </font>
      <fill>
        <patternFill>
          <bgColor rgb="FF00B050"/>
        </patternFill>
      </fill>
    </dxf>
    <dxf>
      <fill>
        <patternFill>
          <bgColor rgb="FF00FF00"/>
        </patternFill>
      </fill>
    </dxf>
    <dxf>
      <fill>
        <patternFill>
          <bgColor rgb="FFFFFF00"/>
        </patternFill>
      </fill>
    </dxf>
    <dxf>
      <fill>
        <patternFill>
          <bgColor rgb="FFFFC000"/>
        </patternFill>
      </fill>
    </dxf>
    <dxf>
      <fill>
        <patternFill>
          <bgColor rgb="FFFF0000"/>
        </patternFill>
      </fill>
    </dxf>
    <dxf>
      <font>
        <color theme="0"/>
      </font>
      <fill>
        <patternFill>
          <bgColor theme="6" tint="-0.499984740745262"/>
        </patternFill>
      </fill>
    </dxf>
    <dxf>
      <fill>
        <patternFill>
          <bgColor rgb="FF92D050"/>
        </patternFill>
      </fill>
    </dxf>
    <dxf>
      <fill>
        <patternFill>
          <bgColor rgb="FFFFFF00"/>
        </patternFill>
      </fill>
    </dxf>
    <dxf>
      <fill>
        <patternFill>
          <bgColor rgb="FFFFC000"/>
        </patternFill>
      </fill>
    </dxf>
    <dxf>
      <fill>
        <patternFill>
          <bgColor rgb="FFFF0000"/>
        </patternFill>
      </fill>
    </dxf>
    <dxf>
      <fill>
        <patternFill>
          <bgColor rgb="FFFFFF00"/>
        </patternFill>
      </fill>
    </dxf>
    <dxf>
      <fill>
        <patternFill>
          <bgColor rgb="FF00B050"/>
        </patternFill>
      </fill>
    </dxf>
    <dxf>
      <fill>
        <patternFill>
          <bgColor rgb="FFFF0000"/>
        </patternFill>
      </fill>
    </dxf>
    <dxf>
      <font>
        <color theme="0"/>
      </font>
      <fill>
        <patternFill>
          <bgColor rgb="FF00B050"/>
        </patternFill>
      </fill>
    </dxf>
    <dxf>
      <fill>
        <patternFill>
          <bgColor rgb="FF00FF00"/>
        </patternFill>
      </fill>
    </dxf>
    <dxf>
      <fill>
        <patternFill>
          <bgColor rgb="FFFFFF00"/>
        </patternFill>
      </fill>
    </dxf>
    <dxf>
      <fill>
        <patternFill>
          <bgColor rgb="FFFFC000"/>
        </patternFill>
      </fill>
    </dxf>
    <dxf>
      <fill>
        <patternFill>
          <bgColor rgb="FFFF0000"/>
        </patternFill>
      </fill>
    </dxf>
    <dxf>
      <font>
        <color theme="0"/>
      </font>
      <fill>
        <patternFill>
          <bgColor theme="6" tint="-0.499984740745262"/>
        </patternFill>
      </fill>
    </dxf>
    <dxf>
      <fill>
        <patternFill>
          <bgColor rgb="FF92D050"/>
        </patternFill>
      </fill>
    </dxf>
    <dxf>
      <fill>
        <patternFill>
          <bgColor rgb="FFFFFF00"/>
        </patternFill>
      </fill>
    </dxf>
    <dxf>
      <fill>
        <patternFill>
          <bgColor rgb="FFFFC000"/>
        </patternFill>
      </fill>
    </dxf>
    <dxf>
      <fill>
        <patternFill>
          <bgColor rgb="FFFF00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0</xdr:col>
      <xdr:colOff>811</xdr:colOff>
      <xdr:row>0</xdr:row>
      <xdr:rowOff>15875</xdr:rowOff>
    </xdr:from>
    <xdr:to>
      <xdr:col>7</xdr:col>
      <xdr:colOff>2815167</xdr:colOff>
      <xdr:row>3</xdr:row>
      <xdr:rowOff>15875</xdr:rowOff>
    </xdr:to>
    <xdr:sp macro="" textlink="">
      <xdr:nvSpPr>
        <xdr:cNvPr id="2" name="Rectangle 1">
          <a:extLst>
            <a:ext uri="{FF2B5EF4-FFF2-40B4-BE49-F238E27FC236}">
              <a16:creationId xmlns:a16="http://schemas.microsoft.com/office/drawing/2014/main" id="{7AAE927F-1ACA-4BC4-BDFF-A6433E06944E}"/>
            </a:ext>
          </a:extLst>
        </xdr:cNvPr>
        <xdr:cNvSpPr/>
      </xdr:nvSpPr>
      <xdr:spPr>
        <a:xfrm>
          <a:off x="811" y="15875"/>
          <a:ext cx="14596781" cy="628650"/>
        </a:xfrm>
        <a:prstGeom prst="rect">
          <a:avLst/>
        </a:prstGeom>
        <a:solidFill>
          <a:schemeClr val="accent5">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2400" b="1"/>
            <a:t>Kajian Harian Risiko Likuiditas</a:t>
          </a:r>
        </a:p>
      </xdr:txBody>
    </xdr:sp>
    <xdr:clientData/>
  </xdr:twoCellAnchor>
  <xdr:oneCellAnchor>
    <xdr:from>
      <xdr:col>6</xdr:col>
      <xdr:colOff>144237</xdr:colOff>
      <xdr:row>25</xdr:row>
      <xdr:rowOff>171454</xdr:rowOff>
    </xdr:from>
    <xdr:ext cx="184731" cy="264560"/>
    <xdr:sp macro="" textlink="">
      <xdr:nvSpPr>
        <xdr:cNvPr id="7" name="TextBox 6">
          <a:extLst>
            <a:ext uri="{FF2B5EF4-FFF2-40B4-BE49-F238E27FC236}">
              <a16:creationId xmlns:a16="http://schemas.microsoft.com/office/drawing/2014/main" id="{E71FBDA9-6039-4C85-9B7E-D23F8E8D93DD}"/>
            </a:ext>
          </a:extLst>
        </xdr:cNvPr>
        <xdr:cNvSpPr txBox="1"/>
      </xdr:nvSpPr>
      <xdr:spPr>
        <a:xfrm>
          <a:off x="10326462" y="503872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0</xdr:col>
      <xdr:colOff>811</xdr:colOff>
      <xdr:row>0</xdr:row>
      <xdr:rowOff>15875</xdr:rowOff>
    </xdr:from>
    <xdr:to>
      <xdr:col>7</xdr:col>
      <xdr:colOff>2815167</xdr:colOff>
      <xdr:row>3</xdr:row>
      <xdr:rowOff>15875</xdr:rowOff>
    </xdr:to>
    <xdr:sp macro="" textlink="">
      <xdr:nvSpPr>
        <xdr:cNvPr id="2" name="Rectangle 1">
          <a:extLst>
            <a:ext uri="{FF2B5EF4-FFF2-40B4-BE49-F238E27FC236}">
              <a16:creationId xmlns:a16="http://schemas.microsoft.com/office/drawing/2014/main" id="{7AAE927F-1ACA-4BC4-BDFF-A6433E06944E}"/>
            </a:ext>
          </a:extLst>
        </xdr:cNvPr>
        <xdr:cNvSpPr/>
      </xdr:nvSpPr>
      <xdr:spPr>
        <a:xfrm>
          <a:off x="811" y="15875"/>
          <a:ext cx="14596781" cy="628650"/>
        </a:xfrm>
        <a:prstGeom prst="rect">
          <a:avLst/>
        </a:prstGeom>
        <a:solidFill>
          <a:schemeClr val="accent5">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2400" b="1"/>
            <a:t>Kajian Harian Risiko Likuiditas</a:t>
          </a:r>
        </a:p>
      </xdr:txBody>
    </xdr:sp>
    <xdr:clientData/>
  </xdr:twoCellAnchor>
  <xdr:twoCellAnchor>
    <xdr:from>
      <xdr:col>2</xdr:col>
      <xdr:colOff>143686</xdr:colOff>
      <xdr:row>0</xdr:row>
      <xdr:rowOff>0</xdr:rowOff>
    </xdr:from>
    <xdr:to>
      <xdr:col>3</xdr:col>
      <xdr:colOff>424356</xdr:colOff>
      <xdr:row>1</xdr:row>
      <xdr:rowOff>158070</xdr:rowOff>
    </xdr:to>
    <xdr:sp macro="" textlink="">
      <xdr:nvSpPr>
        <xdr:cNvPr id="3" name="Freeform 8">
          <a:extLst>
            <a:ext uri="{FF2B5EF4-FFF2-40B4-BE49-F238E27FC236}">
              <a16:creationId xmlns:a16="http://schemas.microsoft.com/office/drawing/2014/main" id="{5A4AAA12-DC9B-420F-8CD6-AF48E035D2F8}"/>
            </a:ext>
          </a:extLst>
        </xdr:cNvPr>
        <xdr:cNvSpPr/>
      </xdr:nvSpPr>
      <xdr:spPr bwMode="auto">
        <a:xfrm>
          <a:off x="638986" y="0"/>
          <a:ext cx="1652270" cy="405720"/>
        </a:xfrm>
        <a:custGeom>
          <a:avLst/>
          <a:gdLst>
            <a:gd name="T0" fmla="*/ 342 w 683"/>
            <a:gd name="T1" fmla="*/ 305 h 342"/>
            <a:gd name="T2" fmla="*/ 37 w 683"/>
            <a:gd name="T3" fmla="*/ 0 h 342"/>
            <a:gd name="T4" fmla="*/ 0 w 683"/>
            <a:gd name="T5" fmla="*/ 0 h 342"/>
            <a:gd name="T6" fmla="*/ 342 w 683"/>
            <a:gd name="T7" fmla="*/ 342 h 342"/>
            <a:gd name="T8" fmla="*/ 683 w 683"/>
            <a:gd name="T9" fmla="*/ 0 h 342"/>
            <a:gd name="T10" fmla="*/ 646 w 683"/>
            <a:gd name="T11" fmla="*/ 0 h 342"/>
            <a:gd name="T12" fmla="*/ 342 w 683"/>
            <a:gd name="T13" fmla="*/ 305 h 342"/>
          </a:gdLst>
          <a:ahLst/>
          <a:cxnLst>
            <a:cxn ang="0">
              <a:pos x="T0" y="T1"/>
            </a:cxn>
            <a:cxn ang="0">
              <a:pos x="T2" y="T3"/>
            </a:cxn>
            <a:cxn ang="0">
              <a:pos x="T4" y="T5"/>
            </a:cxn>
            <a:cxn ang="0">
              <a:pos x="T6" y="T7"/>
            </a:cxn>
            <a:cxn ang="0">
              <a:pos x="T8" y="T9"/>
            </a:cxn>
            <a:cxn ang="0">
              <a:pos x="T10" y="T11"/>
            </a:cxn>
            <a:cxn ang="0">
              <a:pos x="T12" y="T13"/>
            </a:cxn>
          </a:cxnLst>
          <a:rect l="0" t="0" r="r" b="b"/>
          <a:pathLst>
            <a:path w="683" h="342">
              <a:moveTo>
                <a:pt x="342" y="305"/>
              </a:moveTo>
              <a:cubicBezTo>
                <a:pt x="173" y="305"/>
                <a:pt x="37" y="169"/>
                <a:pt x="37" y="0"/>
              </a:cubicBezTo>
              <a:cubicBezTo>
                <a:pt x="0" y="0"/>
                <a:pt x="0" y="0"/>
                <a:pt x="0" y="0"/>
              </a:cubicBezTo>
              <a:cubicBezTo>
                <a:pt x="0" y="189"/>
                <a:pt x="153" y="342"/>
                <a:pt x="342" y="342"/>
              </a:cubicBezTo>
              <a:cubicBezTo>
                <a:pt x="530" y="342"/>
                <a:pt x="683" y="189"/>
                <a:pt x="683" y="0"/>
              </a:cubicBezTo>
              <a:cubicBezTo>
                <a:pt x="646" y="0"/>
                <a:pt x="646" y="0"/>
                <a:pt x="646" y="0"/>
              </a:cubicBezTo>
              <a:cubicBezTo>
                <a:pt x="646" y="169"/>
                <a:pt x="510" y="305"/>
                <a:pt x="342" y="305"/>
              </a:cubicBezTo>
              <a:close/>
            </a:path>
          </a:pathLst>
        </a:custGeom>
        <a:solidFill>
          <a:srgbClr val="7FA47B"/>
        </a:solidFill>
        <a:ln>
          <a:noFill/>
        </a:ln>
      </xdr:spPr>
      <xdr:txBody>
        <a:bodyPr wrap="square"/>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defTabSz="914377"/>
          <a:endParaRPr lang="zh-CN" altLang="en-US" sz="1867">
            <a:solidFill>
              <a:schemeClr val="tx1">
                <a:lumMod val="75000"/>
                <a:lumOff val="25000"/>
              </a:schemeClr>
            </a:solidFill>
            <a:cs typeface="+mn-ea"/>
            <a:sym typeface="+mn-lt"/>
          </a:endParaRPr>
        </a:p>
      </xdr:txBody>
    </xdr:sp>
    <xdr:clientData/>
  </xdr:twoCellAnchor>
  <xdr:twoCellAnchor>
    <xdr:from>
      <xdr:col>3</xdr:col>
      <xdr:colOff>461188</xdr:colOff>
      <xdr:row>1</xdr:row>
      <xdr:rowOff>0</xdr:rowOff>
    </xdr:from>
    <xdr:to>
      <xdr:col>3</xdr:col>
      <xdr:colOff>2107108</xdr:colOff>
      <xdr:row>3</xdr:row>
      <xdr:rowOff>30480</xdr:rowOff>
    </xdr:to>
    <xdr:sp macro="" textlink="">
      <xdr:nvSpPr>
        <xdr:cNvPr id="4" name="Freeform 9">
          <a:extLst>
            <a:ext uri="{FF2B5EF4-FFF2-40B4-BE49-F238E27FC236}">
              <a16:creationId xmlns:a16="http://schemas.microsoft.com/office/drawing/2014/main" id="{52BFFD59-4FF4-4B3E-BC39-B10ABEE6198A}"/>
            </a:ext>
          </a:extLst>
        </xdr:cNvPr>
        <xdr:cNvSpPr/>
      </xdr:nvSpPr>
      <xdr:spPr bwMode="auto">
        <a:xfrm>
          <a:off x="2328088" y="247650"/>
          <a:ext cx="1645920" cy="411480"/>
        </a:xfrm>
        <a:custGeom>
          <a:avLst/>
          <a:gdLst>
            <a:gd name="T0" fmla="*/ 342 w 684"/>
            <a:gd name="T1" fmla="*/ 37 h 341"/>
            <a:gd name="T2" fmla="*/ 647 w 684"/>
            <a:gd name="T3" fmla="*/ 341 h 341"/>
            <a:gd name="T4" fmla="*/ 684 w 684"/>
            <a:gd name="T5" fmla="*/ 341 h 341"/>
            <a:gd name="T6" fmla="*/ 342 w 684"/>
            <a:gd name="T7" fmla="*/ 0 h 341"/>
            <a:gd name="T8" fmla="*/ 0 w 684"/>
            <a:gd name="T9" fmla="*/ 341 h 341"/>
            <a:gd name="T10" fmla="*/ 37 w 684"/>
            <a:gd name="T11" fmla="*/ 341 h 341"/>
            <a:gd name="T12" fmla="*/ 342 w 684"/>
            <a:gd name="T13" fmla="*/ 37 h 341"/>
          </a:gdLst>
          <a:ahLst/>
          <a:cxnLst>
            <a:cxn ang="0">
              <a:pos x="T0" y="T1"/>
            </a:cxn>
            <a:cxn ang="0">
              <a:pos x="T2" y="T3"/>
            </a:cxn>
            <a:cxn ang="0">
              <a:pos x="T4" y="T5"/>
            </a:cxn>
            <a:cxn ang="0">
              <a:pos x="T6" y="T7"/>
            </a:cxn>
            <a:cxn ang="0">
              <a:pos x="T8" y="T9"/>
            </a:cxn>
            <a:cxn ang="0">
              <a:pos x="T10" y="T11"/>
            </a:cxn>
            <a:cxn ang="0">
              <a:pos x="T12" y="T13"/>
            </a:cxn>
          </a:cxnLst>
          <a:rect l="0" t="0" r="r" b="b"/>
          <a:pathLst>
            <a:path w="684" h="341">
              <a:moveTo>
                <a:pt x="342" y="37"/>
              </a:moveTo>
              <a:cubicBezTo>
                <a:pt x="511" y="37"/>
                <a:pt x="647" y="173"/>
                <a:pt x="647" y="341"/>
              </a:cubicBezTo>
              <a:cubicBezTo>
                <a:pt x="684" y="341"/>
                <a:pt x="684" y="341"/>
                <a:pt x="684" y="341"/>
              </a:cubicBezTo>
              <a:cubicBezTo>
                <a:pt x="684" y="153"/>
                <a:pt x="531" y="0"/>
                <a:pt x="342" y="0"/>
              </a:cubicBezTo>
              <a:cubicBezTo>
                <a:pt x="153" y="0"/>
                <a:pt x="0" y="153"/>
                <a:pt x="0" y="341"/>
              </a:cubicBezTo>
              <a:cubicBezTo>
                <a:pt x="37" y="341"/>
                <a:pt x="37" y="341"/>
                <a:pt x="37" y="341"/>
              </a:cubicBezTo>
              <a:cubicBezTo>
                <a:pt x="37" y="173"/>
                <a:pt x="174" y="37"/>
                <a:pt x="342" y="37"/>
              </a:cubicBezTo>
              <a:close/>
            </a:path>
          </a:pathLst>
        </a:custGeom>
        <a:solidFill>
          <a:srgbClr val="DFAF3D"/>
        </a:solidFill>
        <a:ln>
          <a:noFill/>
        </a:ln>
      </xdr:spPr>
      <xdr:txBody>
        <a:bodyPr wrap="square"/>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defTabSz="914377"/>
          <a:endParaRPr lang="zh-CN" altLang="en-US" sz="1867">
            <a:solidFill>
              <a:schemeClr val="tx1">
                <a:lumMod val="75000"/>
                <a:lumOff val="25000"/>
              </a:schemeClr>
            </a:solidFill>
            <a:cs typeface="+mn-ea"/>
            <a:sym typeface="+mn-lt"/>
          </a:endParaRPr>
        </a:p>
      </xdr:txBody>
    </xdr:sp>
    <xdr:clientData/>
  </xdr:twoCellAnchor>
  <xdr:twoCellAnchor>
    <xdr:from>
      <xdr:col>5</xdr:col>
      <xdr:colOff>1248588</xdr:colOff>
      <xdr:row>0</xdr:row>
      <xdr:rowOff>231775</xdr:rowOff>
    </xdr:from>
    <xdr:to>
      <xdr:col>6</xdr:col>
      <xdr:colOff>878383</xdr:colOff>
      <xdr:row>3</xdr:row>
      <xdr:rowOff>8255</xdr:rowOff>
    </xdr:to>
    <xdr:sp macro="" textlink="">
      <xdr:nvSpPr>
        <xdr:cNvPr id="5" name="Freeform 10">
          <a:extLst>
            <a:ext uri="{FF2B5EF4-FFF2-40B4-BE49-F238E27FC236}">
              <a16:creationId xmlns:a16="http://schemas.microsoft.com/office/drawing/2014/main" id="{742E4130-0062-4D1A-8CDA-101B33E7616A}"/>
            </a:ext>
          </a:extLst>
        </xdr:cNvPr>
        <xdr:cNvSpPr/>
      </xdr:nvSpPr>
      <xdr:spPr bwMode="auto">
        <a:xfrm>
          <a:off x="8859063" y="231775"/>
          <a:ext cx="2201545" cy="405130"/>
        </a:xfrm>
        <a:custGeom>
          <a:avLst/>
          <a:gdLst>
            <a:gd name="T0" fmla="*/ 342 w 684"/>
            <a:gd name="T1" fmla="*/ 37 h 341"/>
            <a:gd name="T2" fmla="*/ 647 w 684"/>
            <a:gd name="T3" fmla="*/ 341 h 341"/>
            <a:gd name="T4" fmla="*/ 684 w 684"/>
            <a:gd name="T5" fmla="*/ 341 h 341"/>
            <a:gd name="T6" fmla="*/ 342 w 684"/>
            <a:gd name="T7" fmla="*/ 0 h 341"/>
            <a:gd name="T8" fmla="*/ 0 w 684"/>
            <a:gd name="T9" fmla="*/ 341 h 341"/>
            <a:gd name="T10" fmla="*/ 37 w 684"/>
            <a:gd name="T11" fmla="*/ 341 h 341"/>
            <a:gd name="T12" fmla="*/ 342 w 684"/>
            <a:gd name="T13" fmla="*/ 37 h 341"/>
          </a:gdLst>
          <a:ahLst/>
          <a:cxnLst>
            <a:cxn ang="0">
              <a:pos x="T0" y="T1"/>
            </a:cxn>
            <a:cxn ang="0">
              <a:pos x="T2" y="T3"/>
            </a:cxn>
            <a:cxn ang="0">
              <a:pos x="T4" y="T5"/>
            </a:cxn>
            <a:cxn ang="0">
              <a:pos x="T6" y="T7"/>
            </a:cxn>
            <a:cxn ang="0">
              <a:pos x="T8" y="T9"/>
            </a:cxn>
            <a:cxn ang="0">
              <a:pos x="T10" y="T11"/>
            </a:cxn>
            <a:cxn ang="0">
              <a:pos x="T12" y="T13"/>
            </a:cxn>
          </a:cxnLst>
          <a:rect l="0" t="0" r="r" b="b"/>
          <a:pathLst>
            <a:path w="684" h="341">
              <a:moveTo>
                <a:pt x="342" y="37"/>
              </a:moveTo>
              <a:cubicBezTo>
                <a:pt x="511" y="37"/>
                <a:pt x="647" y="173"/>
                <a:pt x="647" y="341"/>
              </a:cubicBezTo>
              <a:cubicBezTo>
                <a:pt x="684" y="341"/>
                <a:pt x="684" y="341"/>
                <a:pt x="684" y="341"/>
              </a:cubicBezTo>
              <a:cubicBezTo>
                <a:pt x="684" y="153"/>
                <a:pt x="531" y="0"/>
                <a:pt x="342" y="0"/>
              </a:cubicBezTo>
              <a:cubicBezTo>
                <a:pt x="153" y="0"/>
                <a:pt x="0" y="153"/>
                <a:pt x="0" y="341"/>
              </a:cubicBezTo>
              <a:cubicBezTo>
                <a:pt x="37" y="341"/>
                <a:pt x="37" y="341"/>
                <a:pt x="37" y="341"/>
              </a:cubicBezTo>
              <a:cubicBezTo>
                <a:pt x="37" y="173"/>
                <a:pt x="174" y="37"/>
                <a:pt x="342" y="37"/>
              </a:cubicBezTo>
              <a:close/>
            </a:path>
          </a:pathLst>
        </a:custGeom>
        <a:solidFill>
          <a:srgbClr val="DFAF3D"/>
        </a:solidFill>
        <a:ln>
          <a:noFill/>
        </a:ln>
      </xdr:spPr>
      <xdr:txBody>
        <a:bodyPr wrap="square"/>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defTabSz="914377"/>
          <a:endParaRPr lang="zh-CN" altLang="en-US" sz="1867">
            <a:solidFill>
              <a:schemeClr val="tx1">
                <a:lumMod val="75000"/>
                <a:lumOff val="25000"/>
              </a:schemeClr>
            </a:solidFill>
            <a:cs typeface="+mn-ea"/>
            <a:sym typeface="+mn-lt"/>
          </a:endParaRPr>
        </a:p>
      </xdr:txBody>
    </xdr:sp>
    <xdr:clientData/>
  </xdr:twoCellAnchor>
  <xdr:twoCellAnchor>
    <xdr:from>
      <xdr:col>6</xdr:col>
      <xdr:colOff>931086</xdr:colOff>
      <xdr:row>0</xdr:row>
      <xdr:rowOff>9525</xdr:rowOff>
    </xdr:from>
    <xdr:to>
      <xdr:col>7</xdr:col>
      <xdr:colOff>1275256</xdr:colOff>
      <xdr:row>1</xdr:row>
      <xdr:rowOff>167595</xdr:rowOff>
    </xdr:to>
    <xdr:sp macro="" textlink="">
      <xdr:nvSpPr>
        <xdr:cNvPr id="6" name="Freeform 11">
          <a:extLst>
            <a:ext uri="{FF2B5EF4-FFF2-40B4-BE49-F238E27FC236}">
              <a16:creationId xmlns:a16="http://schemas.microsoft.com/office/drawing/2014/main" id="{AFA6C43B-B3C6-4AC8-8CF2-82A57A6A8358}"/>
            </a:ext>
          </a:extLst>
        </xdr:cNvPr>
        <xdr:cNvSpPr/>
      </xdr:nvSpPr>
      <xdr:spPr bwMode="auto">
        <a:xfrm>
          <a:off x="11113311" y="9525"/>
          <a:ext cx="2039620" cy="405720"/>
        </a:xfrm>
        <a:custGeom>
          <a:avLst/>
          <a:gdLst>
            <a:gd name="T0" fmla="*/ 342 w 683"/>
            <a:gd name="T1" fmla="*/ 305 h 342"/>
            <a:gd name="T2" fmla="*/ 37 w 683"/>
            <a:gd name="T3" fmla="*/ 0 h 342"/>
            <a:gd name="T4" fmla="*/ 0 w 683"/>
            <a:gd name="T5" fmla="*/ 0 h 342"/>
            <a:gd name="T6" fmla="*/ 342 w 683"/>
            <a:gd name="T7" fmla="*/ 342 h 342"/>
            <a:gd name="T8" fmla="*/ 683 w 683"/>
            <a:gd name="T9" fmla="*/ 0 h 342"/>
            <a:gd name="T10" fmla="*/ 646 w 683"/>
            <a:gd name="T11" fmla="*/ 0 h 342"/>
            <a:gd name="T12" fmla="*/ 342 w 683"/>
            <a:gd name="T13" fmla="*/ 305 h 342"/>
          </a:gdLst>
          <a:ahLst/>
          <a:cxnLst>
            <a:cxn ang="0">
              <a:pos x="T0" y="T1"/>
            </a:cxn>
            <a:cxn ang="0">
              <a:pos x="T2" y="T3"/>
            </a:cxn>
            <a:cxn ang="0">
              <a:pos x="T4" y="T5"/>
            </a:cxn>
            <a:cxn ang="0">
              <a:pos x="T6" y="T7"/>
            </a:cxn>
            <a:cxn ang="0">
              <a:pos x="T8" y="T9"/>
            </a:cxn>
            <a:cxn ang="0">
              <a:pos x="T10" y="T11"/>
            </a:cxn>
            <a:cxn ang="0">
              <a:pos x="T12" y="T13"/>
            </a:cxn>
          </a:cxnLst>
          <a:rect l="0" t="0" r="r" b="b"/>
          <a:pathLst>
            <a:path w="683" h="342">
              <a:moveTo>
                <a:pt x="342" y="305"/>
              </a:moveTo>
              <a:cubicBezTo>
                <a:pt x="173" y="305"/>
                <a:pt x="37" y="169"/>
                <a:pt x="37" y="0"/>
              </a:cubicBezTo>
              <a:cubicBezTo>
                <a:pt x="0" y="0"/>
                <a:pt x="0" y="0"/>
                <a:pt x="0" y="0"/>
              </a:cubicBezTo>
              <a:cubicBezTo>
                <a:pt x="0" y="189"/>
                <a:pt x="153" y="342"/>
                <a:pt x="342" y="342"/>
              </a:cubicBezTo>
              <a:cubicBezTo>
                <a:pt x="530" y="342"/>
                <a:pt x="683" y="189"/>
                <a:pt x="683" y="0"/>
              </a:cubicBezTo>
              <a:cubicBezTo>
                <a:pt x="646" y="0"/>
                <a:pt x="646" y="0"/>
                <a:pt x="646" y="0"/>
              </a:cubicBezTo>
              <a:cubicBezTo>
                <a:pt x="646" y="169"/>
                <a:pt x="510" y="305"/>
                <a:pt x="342" y="305"/>
              </a:cubicBezTo>
              <a:close/>
            </a:path>
          </a:pathLst>
        </a:custGeom>
        <a:solidFill>
          <a:srgbClr val="7FA47B"/>
        </a:solidFill>
        <a:ln>
          <a:noFill/>
        </a:ln>
      </xdr:spPr>
      <xdr:txBody>
        <a:bodyPr wrap="square"/>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defTabSz="914377"/>
          <a:endParaRPr lang="zh-CN" altLang="en-US" sz="1867">
            <a:solidFill>
              <a:schemeClr val="tx1">
                <a:lumMod val="75000"/>
                <a:lumOff val="25000"/>
              </a:schemeClr>
            </a:solidFill>
            <a:cs typeface="+mn-ea"/>
            <a:sym typeface="+mn-lt"/>
          </a:endParaRPr>
        </a:p>
      </xdr:txBody>
    </xdr:sp>
    <xdr:clientData/>
  </xdr:twoCellAnchor>
  <xdr:oneCellAnchor>
    <xdr:from>
      <xdr:col>6</xdr:col>
      <xdr:colOff>144237</xdr:colOff>
      <xdr:row>25</xdr:row>
      <xdr:rowOff>171454</xdr:rowOff>
    </xdr:from>
    <xdr:ext cx="184731" cy="264560"/>
    <xdr:sp macro="" textlink="">
      <xdr:nvSpPr>
        <xdr:cNvPr id="7" name="TextBox 6">
          <a:extLst>
            <a:ext uri="{FF2B5EF4-FFF2-40B4-BE49-F238E27FC236}">
              <a16:creationId xmlns:a16="http://schemas.microsoft.com/office/drawing/2014/main" id="{E71FBDA9-6039-4C85-9B7E-D23F8E8D93DD}"/>
            </a:ext>
          </a:extLst>
        </xdr:cNvPr>
        <xdr:cNvSpPr txBox="1"/>
      </xdr:nvSpPr>
      <xdr:spPr>
        <a:xfrm>
          <a:off x="10326462" y="503872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twoCellAnchor>
    <xdr:from>
      <xdr:col>2</xdr:col>
      <xdr:colOff>143686</xdr:colOff>
      <xdr:row>0</xdr:row>
      <xdr:rowOff>0</xdr:rowOff>
    </xdr:from>
    <xdr:to>
      <xdr:col>3</xdr:col>
      <xdr:colOff>424356</xdr:colOff>
      <xdr:row>1</xdr:row>
      <xdr:rowOff>158070</xdr:rowOff>
    </xdr:to>
    <xdr:sp macro="" textlink="">
      <xdr:nvSpPr>
        <xdr:cNvPr id="8" name="Freeform 8">
          <a:extLst>
            <a:ext uri="{FF2B5EF4-FFF2-40B4-BE49-F238E27FC236}">
              <a16:creationId xmlns:a16="http://schemas.microsoft.com/office/drawing/2014/main" id="{A6C76967-0433-490A-8FE6-7B0F33BAA1AA}"/>
            </a:ext>
          </a:extLst>
        </xdr:cNvPr>
        <xdr:cNvSpPr/>
      </xdr:nvSpPr>
      <xdr:spPr bwMode="auto">
        <a:xfrm>
          <a:off x="638986" y="0"/>
          <a:ext cx="1652270" cy="405720"/>
        </a:xfrm>
        <a:custGeom>
          <a:avLst/>
          <a:gdLst>
            <a:gd name="T0" fmla="*/ 342 w 683"/>
            <a:gd name="T1" fmla="*/ 305 h 342"/>
            <a:gd name="T2" fmla="*/ 37 w 683"/>
            <a:gd name="T3" fmla="*/ 0 h 342"/>
            <a:gd name="T4" fmla="*/ 0 w 683"/>
            <a:gd name="T5" fmla="*/ 0 h 342"/>
            <a:gd name="T6" fmla="*/ 342 w 683"/>
            <a:gd name="T7" fmla="*/ 342 h 342"/>
            <a:gd name="T8" fmla="*/ 683 w 683"/>
            <a:gd name="T9" fmla="*/ 0 h 342"/>
            <a:gd name="T10" fmla="*/ 646 w 683"/>
            <a:gd name="T11" fmla="*/ 0 h 342"/>
            <a:gd name="T12" fmla="*/ 342 w 683"/>
            <a:gd name="T13" fmla="*/ 305 h 342"/>
          </a:gdLst>
          <a:ahLst/>
          <a:cxnLst>
            <a:cxn ang="0">
              <a:pos x="T0" y="T1"/>
            </a:cxn>
            <a:cxn ang="0">
              <a:pos x="T2" y="T3"/>
            </a:cxn>
            <a:cxn ang="0">
              <a:pos x="T4" y="T5"/>
            </a:cxn>
            <a:cxn ang="0">
              <a:pos x="T6" y="T7"/>
            </a:cxn>
            <a:cxn ang="0">
              <a:pos x="T8" y="T9"/>
            </a:cxn>
            <a:cxn ang="0">
              <a:pos x="T10" y="T11"/>
            </a:cxn>
            <a:cxn ang="0">
              <a:pos x="T12" y="T13"/>
            </a:cxn>
          </a:cxnLst>
          <a:rect l="0" t="0" r="r" b="b"/>
          <a:pathLst>
            <a:path w="683" h="342">
              <a:moveTo>
                <a:pt x="342" y="305"/>
              </a:moveTo>
              <a:cubicBezTo>
                <a:pt x="173" y="305"/>
                <a:pt x="37" y="169"/>
                <a:pt x="37" y="0"/>
              </a:cubicBezTo>
              <a:cubicBezTo>
                <a:pt x="0" y="0"/>
                <a:pt x="0" y="0"/>
                <a:pt x="0" y="0"/>
              </a:cubicBezTo>
              <a:cubicBezTo>
                <a:pt x="0" y="189"/>
                <a:pt x="153" y="342"/>
                <a:pt x="342" y="342"/>
              </a:cubicBezTo>
              <a:cubicBezTo>
                <a:pt x="530" y="342"/>
                <a:pt x="683" y="189"/>
                <a:pt x="683" y="0"/>
              </a:cubicBezTo>
              <a:cubicBezTo>
                <a:pt x="646" y="0"/>
                <a:pt x="646" y="0"/>
                <a:pt x="646" y="0"/>
              </a:cubicBezTo>
              <a:cubicBezTo>
                <a:pt x="646" y="169"/>
                <a:pt x="510" y="305"/>
                <a:pt x="342" y="305"/>
              </a:cubicBezTo>
              <a:close/>
            </a:path>
          </a:pathLst>
        </a:custGeom>
        <a:solidFill>
          <a:srgbClr val="7FA47B"/>
        </a:solidFill>
        <a:ln>
          <a:noFill/>
        </a:ln>
      </xdr:spPr>
      <xdr:txBody>
        <a:bodyPr wrap="square"/>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defTabSz="914377"/>
          <a:endParaRPr lang="zh-CN" altLang="en-US" sz="1867">
            <a:solidFill>
              <a:schemeClr val="tx1">
                <a:lumMod val="75000"/>
                <a:lumOff val="25000"/>
              </a:schemeClr>
            </a:solidFill>
            <a:cs typeface="+mn-ea"/>
            <a:sym typeface="+mn-lt"/>
          </a:endParaRPr>
        </a:p>
      </xdr:txBody>
    </xdr:sp>
    <xdr:clientData/>
  </xdr:twoCellAnchor>
  <xdr:twoCellAnchor>
    <xdr:from>
      <xdr:col>3</xdr:col>
      <xdr:colOff>461188</xdr:colOff>
      <xdr:row>1</xdr:row>
      <xdr:rowOff>0</xdr:rowOff>
    </xdr:from>
    <xdr:to>
      <xdr:col>3</xdr:col>
      <xdr:colOff>2107108</xdr:colOff>
      <xdr:row>3</xdr:row>
      <xdr:rowOff>30480</xdr:rowOff>
    </xdr:to>
    <xdr:sp macro="" textlink="">
      <xdr:nvSpPr>
        <xdr:cNvPr id="9" name="Freeform 9">
          <a:extLst>
            <a:ext uri="{FF2B5EF4-FFF2-40B4-BE49-F238E27FC236}">
              <a16:creationId xmlns:a16="http://schemas.microsoft.com/office/drawing/2014/main" id="{DAC74988-2824-40AA-ABC3-DBE5D59455D8}"/>
            </a:ext>
          </a:extLst>
        </xdr:cNvPr>
        <xdr:cNvSpPr/>
      </xdr:nvSpPr>
      <xdr:spPr bwMode="auto">
        <a:xfrm>
          <a:off x="2328088" y="247650"/>
          <a:ext cx="1645920" cy="411480"/>
        </a:xfrm>
        <a:custGeom>
          <a:avLst/>
          <a:gdLst>
            <a:gd name="T0" fmla="*/ 342 w 684"/>
            <a:gd name="T1" fmla="*/ 37 h 341"/>
            <a:gd name="T2" fmla="*/ 647 w 684"/>
            <a:gd name="T3" fmla="*/ 341 h 341"/>
            <a:gd name="T4" fmla="*/ 684 w 684"/>
            <a:gd name="T5" fmla="*/ 341 h 341"/>
            <a:gd name="T6" fmla="*/ 342 w 684"/>
            <a:gd name="T7" fmla="*/ 0 h 341"/>
            <a:gd name="T8" fmla="*/ 0 w 684"/>
            <a:gd name="T9" fmla="*/ 341 h 341"/>
            <a:gd name="T10" fmla="*/ 37 w 684"/>
            <a:gd name="T11" fmla="*/ 341 h 341"/>
            <a:gd name="T12" fmla="*/ 342 w 684"/>
            <a:gd name="T13" fmla="*/ 37 h 341"/>
          </a:gdLst>
          <a:ahLst/>
          <a:cxnLst>
            <a:cxn ang="0">
              <a:pos x="T0" y="T1"/>
            </a:cxn>
            <a:cxn ang="0">
              <a:pos x="T2" y="T3"/>
            </a:cxn>
            <a:cxn ang="0">
              <a:pos x="T4" y="T5"/>
            </a:cxn>
            <a:cxn ang="0">
              <a:pos x="T6" y="T7"/>
            </a:cxn>
            <a:cxn ang="0">
              <a:pos x="T8" y="T9"/>
            </a:cxn>
            <a:cxn ang="0">
              <a:pos x="T10" y="T11"/>
            </a:cxn>
            <a:cxn ang="0">
              <a:pos x="T12" y="T13"/>
            </a:cxn>
          </a:cxnLst>
          <a:rect l="0" t="0" r="r" b="b"/>
          <a:pathLst>
            <a:path w="684" h="341">
              <a:moveTo>
                <a:pt x="342" y="37"/>
              </a:moveTo>
              <a:cubicBezTo>
                <a:pt x="511" y="37"/>
                <a:pt x="647" y="173"/>
                <a:pt x="647" y="341"/>
              </a:cubicBezTo>
              <a:cubicBezTo>
                <a:pt x="684" y="341"/>
                <a:pt x="684" y="341"/>
                <a:pt x="684" y="341"/>
              </a:cubicBezTo>
              <a:cubicBezTo>
                <a:pt x="684" y="153"/>
                <a:pt x="531" y="0"/>
                <a:pt x="342" y="0"/>
              </a:cubicBezTo>
              <a:cubicBezTo>
                <a:pt x="153" y="0"/>
                <a:pt x="0" y="153"/>
                <a:pt x="0" y="341"/>
              </a:cubicBezTo>
              <a:cubicBezTo>
                <a:pt x="37" y="341"/>
                <a:pt x="37" y="341"/>
                <a:pt x="37" y="341"/>
              </a:cubicBezTo>
              <a:cubicBezTo>
                <a:pt x="37" y="173"/>
                <a:pt x="174" y="37"/>
                <a:pt x="342" y="37"/>
              </a:cubicBezTo>
              <a:close/>
            </a:path>
          </a:pathLst>
        </a:custGeom>
        <a:solidFill>
          <a:srgbClr val="DFAF3D"/>
        </a:solidFill>
        <a:ln>
          <a:noFill/>
        </a:ln>
      </xdr:spPr>
      <xdr:txBody>
        <a:bodyPr wrap="square"/>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defTabSz="914377"/>
          <a:endParaRPr lang="zh-CN" altLang="en-US" sz="1867">
            <a:solidFill>
              <a:schemeClr val="tx1">
                <a:lumMod val="75000"/>
                <a:lumOff val="25000"/>
              </a:schemeClr>
            </a:solidFill>
            <a:cs typeface="+mn-ea"/>
            <a:sym typeface="+mn-lt"/>
          </a:endParaRPr>
        </a:p>
      </xdr:txBody>
    </xdr:sp>
    <xdr:clientData/>
  </xdr:twoCellAnchor>
  <xdr:twoCellAnchor>
    <xdr:from>
      <xdr:col>5</xdr:col>
      <xdr:colOff>1248588</xdr:colOff>
      <xdr:row>0</xdr:row>
      <xdr:rowOff>231775</xdr:rowOff>
    </xdr:from>
    <xdr:to>
      <xdr:col>6</xdr:col>
      <xdr:colOff>878383</xdr:colOff>
      <xdr:row>3</xdr:row>
      <xdr:rowOff>8255</xdr:rowOff>
    </xdr:to>
    <xdr:sp macro="" textlink="">
      <xdr:nvSpPr>
        <xdr:cNvPr id="10" name="Freeform 10">
          <a:extLst>
            <a:ext uri="{FF2B5EF4-FFF2-40B4-BE49-F238E27FC236}">
              <a16:creationId xmlns:a16="http://schemas.microsoft.com/office/drawing/2014/main" id="{8CAD11A1-20AD-4B8F-A514-2AB10249411D}"/>
            </a:ext>
          </a:extLst>
        </xdr:cNvPr>
        <xdr:cNvSpPr/>
      </xdr:nvSpPr>
      <xdr:spPr bwMode="auto">
        <a:xfrm>
          <a:off x="8868588" y="231775"/>
          <a:ext cx="2201545" cy="405130"/>
        </a:xfrm>
        <a:custGeom>
          <a:avLst/>
          <a:gdLst>
            <a:gd name="T0" fmla="*/ 342 w 684"/>
            <a:gd name="T1" fmla="*/ 37 h 341"/>
            <a:gd name="T2" fmla="*/ 647 w 684"/>
            <a:gd name="T3" fmla="*/ 341 h 341"/>
            <a:gd name="T4" fmla="*/ 684 w 684"/>
            <a:gd name="T5" fmla="*/ 341 h 341"/>
            <a:gd name="T6" fmla="*/ 342 w 684"/>
            <a:gd name="T7" fmla="*/ 0 h 341"/>
            <a:gd name="T8" fmla="*/ 0 w 684"/>
            <a:gd name="T9" fmla="*/ 341 h 341"/>
            <a:gd name="T10" fmla="*/ 37 w 684"/>
            <a:gd name="T11" fmla="*/ 341 h 341"/>
            <a:gd name="T12" fmla="*/ 342 w 684"/>
            <a:gd name="T13" fmla="*/ 37 h 341"/>
          </a:gdLst>
          <a:ahLst/>
          <a:cxnLst>
            <a:cxn ang="0">
              <a:pos x="T0" y="T1"/>
            </a:cxn>
            <a:cxn ang="0">
              <a:pos x="T2" y="T3"/>
            </a:cxn>
            <a:cxn ang="0">
              <a:pos x="T4" y="T5"/>
            </a:cxn>
            <a:cxn ang="0">
              <a:pos x="T6" y="T7"/>
            </a:cxn>
            <a:cxn ang="0">
              <a:pos x="T8" y="T9"/>
            </a:cxn>
            <a:cxn ang="0">
              <a:pos x="T10" y="T11"/>
            </a:cxn>
            <a:cxn ang="0">
              <a:pos x="T12" y="T13"/>
            </a:cxn>
          </a:cxnLst>
          <a:rect l="0" t="0" r="r" b="b"/>
          <a:pathLst>
            <a:path w="684" h="341">
              <a:moveTo>
                <a:pt x="342" y="37"/>
              </a:moveTo>
              <a:cubicBezTo>
                <a:pt x="511" y="37"/>
                <a:pt x="647" y="173"/>
                <a:pt x="647" y="341"/>
              </a:cubicBezTo>
              <a:cubicBezTo>
                <a:pt x="684" y="341"/>
                <a:pt x="684" y="341"/>
                <a:pt x="684" y="341"/>
              </a:cubicBezTo>
              <a:cubicBezTo>
                <a:pt x="684" y="153"/>
                <a:pt x="531" y="0"/>
                <a:pt x="342" y="0"/>
              </a:cubicBezTo>
              <a:cubicBezTo>
                <a:pt x="153" y="0"/>
                <a:pt x="0" y="153"/>
                <a:pt x="0" y="341"/>
              </a:cubicBezTo>
              <a:cubicBezTo>
                <a:pt x="37" y="341"/>
                <a:pt x="37" y="341"/>
                <a:pt x="37" y="341"/>
              </a:cubicBezTo>
              <a:cubicBezTo>
                <a:pt x="37" y="173"/>
                <a:pt x="174" y="37"/>
                <a:pt x="342" y="37"/>
              </a:cubicBezTo>
              <a:close/>
            </a:path>
          </a:pathLst>
        </a:custGeom>
        <a:solidFill>
          <a:srgbClr val="DFAF3D"/>
        </a:solidFill>
        <a:ln>
          <a:noFill/>
        </a:ln>
      </xdr:spPr>
      <xdr:txBody>
        <a:bodyPr wrap="square"/>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defTabSz="914377"/>
          <a:endParaRPr lang="zh-CN" altLang="en-US" sz="1867">
            <a:solidFill>
              <a:schemeClr val="tx1">
                <a:lumMod val="75000"/>
                <a:lumOff val="25000"/>
              </a:schemeClr>
            </a:solidFill>
            <a:cs typeface="+mn-ea"/>
            <a:sym typeface="+mn-lt"/>
          </a:endParaRPr>
        </a:p>
      </xdr:txBody>
    </xdr:sp>
    <xdr:clientData/>
  </xdr:twoCellAnchor>
  <xdr:twoCellAnchor>
    <xdr:from>
      <xdr:col>6</xdr:col>
      <xdr:colOff>931086</xdr:colOff>
      <xdr:row>0</xdr:row>
      <xdr:rowOff>9525</xdr:rowOff>
    </xdr:from>
    <xdr:to>
      <xdr:col>7</xdr:col>
      <xdr:colOff>1275256</xdr:colOff>
      <xdr:row>1</xdr:row>
      <xdr:rowOff>167595</xdr:rowOff>
    </xdr:to>
    <xdr:sp macro="" textlink="">
      <xdr:nvSpPr>
        <xdr:cNvPr id="11" name="Freeform 11">
          <a:extLst>
            <a:ext uri="{FF2B5EF4-FFF2-40B4-BE49-F238E27FC236}">
              <a16:creationId xmlns:a16="http://schemas.microsoft.com/office/drawing/2014/main" id="{76288FA5-CCA0-453B-B5E7-AB2E3C1F1B33}"/>
            </a:ext>
          </a:extLst>
        </xdr:cNvPr>
        <xdr:cNvSpPr/>
      </xdr:nvSpPr>
      <xdr:spPr bwMode="auto">
        <a:xfrm>
          <a:off x="11122836" y="9525"/>
          <a:ext cx="2039620" cy="405720"/>
        </a:xfrm>
        <a:custGeom>
          <a:avLst/>
          <a:gdLst>
            <a:gd name="T0" fmla="*/ 342 w 683"/>
            <a:gd name="T1" fmla="*/ 305 h 342"/>
            <a:gd name="T2" fmla="*/ 37 w 683"/>
            <a:gd name="T3" fmla="*/ 0 h 342"/>
            <a:gd name="T4" fmla="*/ 0 w 683"/>
            <a:gd name="T5" fmla="*/ 0 h 342"/>
            <a:gd name="T6" fmla="*/ 342 w 683"/>
            <a:gd name="T7" fmla="*/ 342 h 342"/>
            <a:gd name="T8" fmla="*/ 683 w 683"/>
            <a:gd name="T9" fmla="*/ 0 h 342"/>
            <a:gd name="T10" fmla="*/ 646 w 683"/>
            <a:gd name="T11" fmla="*/ 0 h 342"/>
            <a:gd name="T12" fmla="*/ 342 w 683"/>
            <a:gd name="T13" fmla="*/ 305 h 342"/>
          </a:gdLst>
          <a:ahLst/>
          <a:cxnLst>
            <a:cxn ang="0">
              <a:pos x="T0" y="T1"/>
            </a:cxn>
            <a:cxn ang="0">
              <a:pos x="T2" y="T3"/>
            </a:cxn>
            <a:cxn ang="0">
              <a:pos x="T4" y="T5"/>
            </a:cxn>
            <a:cxn ang="0">
              <a:pos x="T6" y="T7"/>
            </a:cxn>
            <a:cxn ang="0">
              <a:pos x="T8" y="T9"/>
            </a:cxn>
            <a:cxn ang="0">
              <a:pos x="T10" y="T11"/>
            </a:cxn>
            <a:cxn ang="0">
              <a:pos x="T12" y="T13"/>
            </a:cxn>
          </a:cxnLst>
          <a:rect l="0" t="0" r="r" b="b"/>
          <a:pathLst>
            <a:path w="683" h="342">
              <a:moveTo>
                <a:pt x="342" y="305"/>
              </a:moveTo>
              <a:cubicBezTo>
                <a:pt x="173" y="305"/>
                <a:pt x="37" y="169"/>
                <a:pt x="37" y="0"/>
              </a:cubicBezTo>
              <a:cubicBezTo>
                <a:pt x="0" y="0"/>
                <a:pt x="0" y="0"/>
                <a:pt x="0" y="0"/>
              </a:cubicBezTo>
              <a:cubicBezTo>
                <a:pt x="0" y="189"/>
                <a:pt x="153" y="342"/>
                <a:pt x="342" y="342"/>
              </a:cubicBezTo>
              <a:cubicBezTo>
                <a:pt x="530" y="342"/>
                <a:pt x="683" y="189"/>
                <a:pt x="683" y="0"/>
              </a:cubicBezTo>
              <a:cubicBezTo>
                <a:pt x="646" y="0"/>
                <a:pt x="646" y="0"/>
                <a:pt x="646" y="0"/>
              </a:cubicBezTo>
              <a:cubicBezTo>
                <a:pt x="646" y="169"/>
                <a:pt x="510" y="305"/>
                <a:pt x="342" y="305"/>
              </a:cubicBezTo>
              <a:close/>
            </a:path>
          </a:pathLst>
        </a:custGeom>
        <a:solidFill>
          <a:srgbClr val="7FA47B"/>
        </a:solidFill>
        <a:ln>
          <a:noFill/>
        </a:ln>
      </xdr:spPr>
      <xdr:txBody>
        <a:bodyPr wrap="square"/>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defTabSz="914377"/>
          <a:endParaRPr lang="zh-CN" altLang="en-US" sz="1867">
            <a:solidFill>
              <a:schemeClr val="tx1">
                <a:lumMod val="75000"/>
                <a:lumOff val="25000"/>
              </a:schemeClr>
            </a:solidFill>
            <a:cs typeface="+mn-ea"/>
            <a:sym typeface="+mn-lt"/>
          </a:endParaRPr>
        </a:p>
      </xdr:txBody>
    </xdr:sp>
    <xdr:clientData/>
  </xdr:twoCellAnchor>
</xdr:wsDr>
</file>

<file path=xl/drawings/drawing3.xml><?xml version="1.0" encoding="utf-8"?>
<xdr:wsDr xmlns:xdr="http://schemas.openxmlformats.org/drawingml/2006/spreadsheetDrawing" xmlns:a="http://schemas.openxmlformats.org/drawingml/2006/main">
  <xdr:oneCellAnchor>
    <xdr:from>
      <xdr:col>4</xdr:col>
      <xdr:colOff>144237</xdr:colOff>
      <xdr:row>18</xdr:row>
      <xdr:rowOff>171454</xdr:rowOff>
    </xdr:from>
    <xdr:ext cx="184731" cy="264560"/>
    <xdr:sp macro="" textlink="">
      <xdr:nvSpPr>
        <xdr:cNvPr id="6" name="TextBox 5">
          <a:extLst>
            <a:ext uri="{FF2B5EF4-FFF2-40B4-BE49-F238E27FC236}">
              <a16:creationId xmlns:a16="http://schemas.microsoft.com/office/drawing/2014/main" id="{E71FBDA9-6039-4C85-9B7E-D23F8E8D93DD}"/>
            </a:ext>
          </a:extLst>
        </xdr:cNvPr>
        <xdr:cNvSpPr txBox="1"/>
      </xdr:nvSpPr>
      <xdr:spPr>
        <a:xfrm>
          <a:off x="10326462" y="5257804"/>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57"/>
  <sheetViews>
    <sheetView zoomScale="40" zoomScaleNormal="40" workbookViewId="0">
      <selection activeCell="G9" sqref="G1:H1048576"/>
    </sheetView>
  </sheetViews>
  <sheetFormatPr defaultRowHeight="15"/>
  <cols>
    <col min="1" max="1" width="4.85546875" customWidth="1"/>
    <col min="2" max="2" width="2.5703125" style="5" customWidth="1"/>
    <col min="3" max="3" width="20.5703125" customWidth="1"/>
    <col min="4" max="4" width="59" customWidth="1"/>
    <col min="5" max="5" width="27.140625" customWidth="1"/>
    <col min="6" max="6" width="38.5703125" customWidth="1"/>
    <col min="7" max="7" width="25.42578125" customWidth="1"/>
    <col min="8" max="8" width="40.85546875" customWidth="1"/>
  </cols>
  <sheetData>
    <row r="1" spans="1:8" ht="23.25">
      <c r="A1" s="1"/>
      <c r="B1" s="2"/>
      <c r="C1" s="2"/>
      <c r="D1" s="2"/>
    </row>
    <row r="2" spans="1:8">
      <c r="A2" s="3"/>
      <c r="B2" s="3"/>
      <c r="C2" s="3"/>
      <c r="D2" s="3"/>
    </row>
    <row r="3" spans="1:8">
      <c r="A3" s="4"/>
      <c r="B3" s="4"/>
      <c r="C3" s="4"/>
      <c r="D3" s="4"/>
    </row>
    <row r="4" spans="1:8">
      <c r="A4" s="4"/>
      <c r="B4" s="4"/>
      <c r="C4" s="4"/>
      <c r="D4" s="4"/>
    </row>
    <row r="5" spans="1:8" ht="15.75" thickBot="1">
      <c r="C5" s="3"/>
      <c r="D5" s="6"/>
      <c r="E5" s="7"/>
      <c r="G5" s="8" t="s">
        <v>0</v>
      </c>
      <c r="H5" s="9" t="s">
        <v>1</v>
      </c>
    </row>
    <row r="6" spans="1:8" ht="27" thickBot="1">
      <c r="A6" s="291" t="s">
        <v>2</v>
      </c>
      <c r="B6" s="292"/>
      <c r="C6" s="292"/>
      <c r="D6" s="292"/>
      <c r="E6" s="292"/>
      <c r="F6" s="292"/>
      <c r="G6" s="292"/>
      <c r="H6" s="293"/>
    </row>
    <row r="7" spans="1:8" ht="18.75">
      <c r="A7" s="294" t="s">
        <v>3</v>
      </c>
      <c r="B7" s="295"/>
      <c r="C7" s="295"/>
      <c r="D7" s="295"/>
      <c r="E7" s="295"/>
      <c r="F7" s="295"/>
      <c r="G7" s="295"/>
      <c r="H7" s="296"/>
    </row>
    <row r="8" spans="1:8">
      <c r="A8" s="10" t="s">
        <v>4</v>
      </c>
      <c r="B8" s="11"/>
      <c r="C8" s="12" t="s">
        <v>5</v>
      </c>
      <c r="D8" s="13"/>
      <c r="E8" s="297">
        <v>46226</v>
      </c>
      <c r="F8" s="298"/>
      <c r="G8" s="299">
        <v>46227</v>
      </c>
      <c r="H8" s="300"/>
    </row>
    <row r="9" spans="1:8">
      <c r="A9" s="14" t="s">
        <v>6</v>
      </c>
      <c r="B9" s="15" t="s">
        <v>7</v>
      </c>
      <c r="C9" s="16"/>
      <c r="D9" s="17"/>
      <c r="E9" s="18"/>
      <c r="F9" s="19"/>
      <c r="G9" s="18"/>
      <c r="H9" s="20"/>
    </row>
    <row r="10" spans="1:8">
      <c r="A10" s="21"/>
      <c r="B10" s="22" t="s">
        <v>8</v>
      </c>
      <c r="C10" s="23" t="s">
        <v>9</v>
      </c>
      <c r="D10" s="24"/>
      <c r="E10" s="301" t="s">
        <v>10</v>
      </c>
      <c r="F10" s="302"/>
      <c r="G10" s="301" t="s">
        <v>10</v>
      </c>
      <c r="H10" s="303"/>
    </row>
    <row r="11" spans="1:8" ht="15.75">
      <c r="A11" s="25"/>
      <c r="B11" s="26"/>
      <c r="C11" s="27" t="s">
        <v>11</v>
      </c>
      <c r="D11" s="28"/>
      <c r="E11" s="29">
        <v>8303691.0000000009</v>
      </c>
      <c r="F11" s="30"/>
      <c r="G11" s="29">
        <v>8303691.0000000009</v>
      </c>
      <c r="H11" s="31"/>
    </row>
    <row r="12" spans="1:8">
      <c r="A12" s="21"/>
      <c r="B12" s="22"/>
      <c r="C12" s="23" t="s">
        <v>9</v>
      </c>
      <c r="D12" s="32"/>
      <c r="E12" s="33">
        <v>8528782.0485349912</v>
      </c>
      <c r="F12" s="34">
        <v>1.0148735364377828</v>
      </c>
      <c r="G12" s="33">
        <v>9026825.2462489884</v>
      </c>
      <c r="H12" s="35">
        <v>1.0397586899102327</v>
      </c>
    </row>
    <row r="13" spans="1:8">
      <c r="A13" s="25"/>
      <c r="B13" s="26"/>
      <c r="C13" s="27" t="s">
        <v>12</v>
      </c>
      <c r="D13" s="28"/>
      <c r="E13" s="29">
        <v>8427196.2506565899</v>
      </c>
      <c r="F13" s="36" t="s">
        <v>13</v>
      </c>
      <c r="G13" s="29">
        <v>8633834.8755793888</v>
      </c>
      <c r="H13" s="37" t="s">
        <v>13</v>
      </c>
    </row>
    <row r="14" spans="1:8">
      <c r="A14" s="21"/>
      <c r="B14" s="22" t="s">
        <v>14</v>
      </c>
      <c r="C14" s="23" t="s">
        <v>15</v>
      </c>
      <c r="D14" s="24"/>
      <c r="E14" s="38"/>
      <c r="F14" s="39"/>
      <c r="G14" s="38"/>
      <c r="H14" s="40"/>
    </row>
    <row r="15" spans="1:8">
      <c r="A15" s="25"/>
      <c r="B15" s="41"/>
      <c r="C15" s="42" t="s">
        <v>16</v>
      </c>
      <c r="D15" s="41"/>
      <c r="E15" s="43">
        <v>6.3399999999999998E-2</v>
      </c>
      <c r="F15" s="44">
        <v>6.3399999999999998E-2</v>
      </c>
      <c r="G15" s="43">
        <v>6.3600000000000004E-2</v>
      </c>
      <c r="H15" s="45">
        <v>6.3600000000000004E-2</v>
      </c>
    </row>
    <row r="16" spans="1:8">
      <c r="A16" s="21"/>
      <c r="B16" s="46"/>
      <c r="C16" s="46" t="s">
        <v>17</v>
      </c>
      <c r="D16" s="46"/>
      <c r="E16" s="47">
        <v>53933292</v>
      </c>
      <c r="F16" s="48"/>
      <c r="G16" s="47">
        <v>54167675</v>
      </c>
      <c r="H16" s="49"/>
    </row>
    <row r="17" spans="1:8">
      <c r="A17" s="25"/>
      <c r="B17" s="41"/>
      <c r="C17" s="41" t="s">
        <v>18</v>
      </c>
      <c r="D17" s="41"/>
      <c r="E17" s="50">
        <v>851255168.73333335</v>
      </c>
      <c r="F17" s="51"/>
      <c r="G17" s="50">
        <v>851255168.73333335</v>
      </c>
      <c r="H17" s="52"/>
    </row>
    <row r="18" spans="1:8">
      <c r="A18" s="53"/>
      <c r="B18" s="54"/>
      <c r="C18" s="55" t="s">
        <v>19</v>
      </c>
      <c r="D18" s="54"/>
      <c r="E18" s="56">
        <v>5.0783333333333326E-2</v>
      </c>
      <c r="F18" s="57">
        <v>1.4783333333333329E-2</v>
      </c>
      <c r="G18" s="56">
        <v>5.2614285714285711E-2</v>
      </c>
      <c r="H18" s="58">
        <v>1.6614285714285713E-2</v>
      </c>
    </row>
    <row r="19" spans="1:8">
      <c r="A19" s="25"/>
      <c r="B19" s="41"/>
      <c r="C19" s="42" t="s">
        <v>20</v>
      </c>
      <c r="D19" s="41"/>
      <c r="E19" s="43">
        <v>3.5999999999999997E-2</v>
      </c>
      <c r="F19" s="59"/>
      <c r="G19" s="43">
        <v>3.5999999999999997E-2</v>
      </c>
      <c r="H19" s="60"/>
    </row>
    <row r="20" spans="1:8">
      <c r="A20" s="21"/>
      <c r="B20" s="46"/>
      <c r="C20" s="46" t="s">
        <v>21</v>
      </c>
      <c r="D20" s="46"/>
      <c r="E20" s="61">
        <v>23324391.623293333</v>
      </c>
      <c r="F20" s="62"/>
      <c r="G20" s="61">
        <v>23494642.657040007</v>
      </c>
      <c r="H20" s="63"/>
    </row>
    <row r="21" spans="1:8">
      <c r="A21" s="25"/>
      <c r="B21" s="41"/>
      <c r="C21" s="42" t="s">
        <v>22</v>
      </c>
      <c r="D21" s="41"/>
      <c r="E21" s="64">
        <v>0.18904730308880638</v>
      </c>
      <c r="F21" s="44">
        <v>0.14904730308880637</v>
      </c>
      <c r="G21" s="43">
        <v>0.18704389449027886</v>
      </c>
      <c r="H21" s="45">
        <v>0.14704389449027885</v>
      </c>
    </row>
    <row r="22" spans="1:8">
      <c r="A22" s="21"/>
      <c r="B22" s="46"/>
      <c r="C22" s="46" t="s">
        <v>23</v>
      </c>
      <c r="D22" s="46"/>
      <c r="E22" s="47">
        <v>160927493.88944349</v>
      </c>
      <c r="F22" s="65"/>
      <c r="G22" s="47">
        <v>159222081.96486214</v>
      </c>
      <c r="H22" s="66"/>
    </row>
    <row r="23" spans="1:8">
      <c r="A23" s="67"/>
      <c r="B23" s="41"/>
      <c r="C23" s="42" t="s">
        <v>24</v>
      </c>
      <c r="D23" s="42"/>
      <c r="E23" s="68"/>
      <c r="F23" s="69"/>
      <c r="G23" s="68"/>
      <c r="H23" s="70"/>
    </row>
    <row r="24" spans="1:8">
      <c r="A24" s="71"/>
      <c r="B24" s="46"/>
      <c r="C24" s="46" t="s">
        <v>25</v>
      </c>
      <c r="D24" s="46"/>
      <c r="E24" s="72">
        <v>0.09</v>
      </c>
      <c r="F24" s="73"/>
      <c r="G24" s="72">
        <v>0.09</v>
      </c>
      <c r="H24" s="74"/>
    </row>
    <row r="25" spans="1:8">
      <c r="A25" s="67"/>
      <c r="B25" s="41"/>
      <c r="C25" s="41" t="s">
        <v>26</v>
      </c>
      <c r="D25" s="41"/>
      <c r="E25" s="75">
        <v>0.04</v>
      </c>
      <c r="F25" s="76"/>
      <c r="G25" s="75">
        <v>0.04</v>
      </c>
      <c r="H25" s="77"/>
    </row>
    <row r="26" spans="1:8">
      <c r="A26" s="78" t="s">
        <v>27</v>
      </c>
      <c r="B26" s="79" t="s">
        <v>28</v>
      </c>
      <c r="C26" s="80"/>
      <c r="D26" s="81"/>
      <c r="E26" s="82"/>
      <c r="F26" s="83"/>
      <c r="G26" s="82"/>
      <c r="H26" s="84"/>
    </row>
    <row r="27" spans="1:8" ht="15.75">
      <c r="A27" s="85"/>
      <c r="B27" s="86" t="s">
        <v>8</v>
      </c>
      <c r="C27" s="87" t="s">
        <v>29</v>
      </c>
      <c r="D27" s="88"/>
      <c r="E27" s="89">
        <v>91925.262433438314</v>
      </c>
      <c r="F27" s="90"/>
      <c r="G27" s="89">
        <v>101194.17534341416</v>
      </c>
      <c r="H27" s="91"/>
    </row>
    <row r="28" spans="1:8">
      <c r="A28" s="21"/>
      <c r="B28" s="92"/>
      <c r="C28" s="23" t="s">
        <v>30</v>
      </c>
      <c r="D28" s="32"/>
      <c r="E28" s="93">
        <v>87230.141537545656</v>
      </c>
      <c r="F28" s="94">
        <v>1.0936546372688383</v>
      </c>
      <c r="G28" s="93">
        <v>87230.141537545656</v>
      </c>
      <c r="H28" s="95">
        <v>1.1162560705032039</v>
      </c>
    </row>
    <row r="29" spans="1:8">
      <c r="A29" s="85"/>
      <c r="B29" s="86"/>
      <c r="C29" s="96" t="s">
        <v>31</v>
      </c>
      <c r="D29" s="88"/>
      <c r="E29" s="89">
        <v>95399.648802153926</v>
      </c>
      <c r="F29" s="97" t="s">
        <v>32</v>
      </c>
      <c r="G29" s="89">
        <v>97371.17502213901</v>
      </c>
      <c r="H29" s="97" t="s">
        <v>33</v>
      </c>
    </row>
    <row r="30" spans="1:8">
      <c r="A30" s="21"/>
      <c r="B30" s="22" t="s">
        <v>14</v>
      </c>
      <c r="C30" s="23" t="s">
        <v>34</v>
      </c>
      <c r="D30" s="24"/>
      <c r="E30" s="98"/>
      <c r="F30" s="99"/>
      <c r="G30" s="98"/>
      <c r="H30" s="100"/>
    </row>
    <row r="31" spans="1:8">
      <c r="A31" s="85"/>
      <c r="B31" s="101"/>
      <c r="C31" s="87" t="s">
        <v>35</v>
      </c>
      <c r="D31" s="102"/>
      <c r="E31" s="103">
        <v>4.0034886938520191E-2</v>
      </c>
      <c r="F31" s="104">
        <v>3.4886938520189981E-5</v>
      </c>
      <c r="G31" s="103">
        <v>4.0034886938520191E-2</v>
      </c>
      <c r="H31" s="105">
        <v>3.4886938520189981E-5</v>
      </c>
    </row>
    <row r="32" spans="1:8">
      <c r="A32" s="21"/>
      <c r="B32" s="46"/>
      <c r="C32" s="46" t="s">
        <v>36</v>
      </c>
      <c r="D32" s="46"/>
      <c r="E32" s="106">
        <v>574622</v>
      </c>
      <c r="F32" s="99"/>
      <c r="G32" s="106">
        <v>574622</v>
      </c>
      <c r="H32" s="100"/>
    </row>
    <row r="33" spans="1:8">
      <c r="A33" s="85"/>
      <c r="B33" s="102"/>
      <c r="C33" s="102" t="s">
        <v>37</v>
      </c>
      <c r="D33" s="102"/>
      <c r="E33" s="107">
        <v>14353031.666666666</v>
      </c>
      <c r="F33" s="108"/>
      <c r="G33" s="107">
        <v>14353031.666666666</v>
      </c>
      <c r="H33" s="109"/>
    </row>
    <row r="34" spans="1:8">
      <c r="A34" s="21"/>
      <c r="B34" s="46"/>
      <c r="C34" s="110" t="s">
        <v>38</v>
      </c>
      <c r="D34" s="110"/>
      <c r="E34" s="111"/>
      <c r="F34" s="112"/>
      <c r="G34" s="111"/>
      <c r="H34" s="113"/>
    </row>
    <row r="35" spans="1:8">
      <c r="A35" s="85"/>
      <c r="B35" s="102"/>
      <c r="C35" s="102" t="s">
        <v>39</v>
      </c>
      <c r="D35" s="87"/>
      <c r="E35" s="114">
        <v>0.04</v>
      </c>
      <c r="F35" s="115"/>
      <c r="G35" s="114">
        <v>0.04</v>
      </c>
      <c r="H35" s="116"/>
    </row>
    <row r="36" spans="1:8">
      <c r="A36" s="78" t="s">
        <v>40</v>
      </c>
      <c r="B36" s="117" t="s">
        <v>41</v>
      </c>
      <c r="C36" s="118"/>
      <c r="D36" s="81"/>
      <c r="E36" s="82"/>
      <c r="F36" s="83"/>
      <c r="G36" s="82"/>
      <c r="H36" s="84"/>
    </row>
    <row r="37" spans="1:8">
      <c r="A37" s="25"/>
      <c r="B37" s="26" t="s">
        <v>8</v>
      </c>
      <c r="C37" s="27" t="s">
        <v>42</v>
      </c>
      <c r="D37" s="42"/>
      <c r="E37" s="119" t="s">
        <v>43</v>
      </c>
      <c r="F37" s="120"/>
      <c r="G37" s="119" t="s">
        <v>43</v>
      </c>
      <c r="H37" s="121"/>
    </row>
    <row r="38" spans="1:8">
      <c r="A38" s="21"/>
      <c r="B38" s="22" t="s">
        <v>14</v>
      </c>
      <c r="C38" s="23" t="s">
        <v>44</v>
      </c>
      <c r="D38" s="110"/>
      <c r="E38" s="106">
        <v>15500000</v>
      </c>
      <c r="F38" s="99"/>
      <c r="G38" s="106">
        <v>15500000</v>
      </c>
      <c r="H38" s="100"/>
    </row>
    <row r="39" spans="1:8">
      <c r="A39" s="25"/>
      <c r="B39" s="26" t="s">
        <v>45</v>
      </c>
      <c r="C39" s="27" t="s">
        <v>46</v>
      </c>
      <c r="D39" s="122"/>
      <c r="E39" s="123">
        <v>23000000</v>
      </c>
      <c r="F39" s="124" t="s">
        <v>47</v>
      </c>
      <c r="G39" s="123">
        <v>23250000</v>
      </c>
      <c r="H39" s="124" t="s">
        <v>47</v>
      </c>
    </row>
    <row r="40" spans="1:8">
      <c r="A40" s="21"/>
      <c r="B40" s="22" t="s">
        <v>48</v>
      </c>
      <c r="C40" s="23" t="s">
        <v>49</v>
      </c>
      <c r="D40" s="24"/>
      <c r="E40" s="106">
        <v>57763311.611307204</v>
      </c>
      <c r="F40" s="99"/>
      <c r="G40" s="106">
        <v>57731140.27719605</v>
      </c>
      <c r="H40" s="125"/>
    </row>
    <row r="41" spans="1:8">
      <c r="A41" s="25"/>
      <c r="B41" s="26" t="s">
        <v>50</v>
      </c>
      <c r="C41" s="27" t="s">
        <v>51</v>
      </c>
      <c r="D41" s="28"/>
      <c r="E41" s="126"/>
      <c r="F41" s="127"/>
      <c r="G41" s="126"/>
      <c r="H41" s="128"/>
    </row>
    <row r="42" spans="1:8">
      <c r="A42" s="78" t="s">
        <v>52</v>
      </c>
      <c r="B42" s="79" t="s">
        <v>53</v>
      </c>
      <c r="C42" s="80"/>
      <c r="D42" s="81"/>
      <c r="E42" s="82"/>
      <c r="F42" s="83"/>
      <c r="G42" s="82"/>
      <c r="H42" s="129"/>
    </row>
    <row r="43" spans="1:8">
      <c r="A43" s="25"/>
      <c r="B43" s="26" t="s">
        <v>8</v>
      </c>
      <c r="C43" s="27" t="s">
        <v>42</v>
      </c>
      <c r="D43" s="27"/>
      <c r="E43" s="119" t="s">
        <v>43</v>
      </c>
      <c r="F43" s="130"/>
      <c r="G43" s="119" t="s">
        <v>43</v>
      </c>
      <c r="H43" s="131"/>
    </row>
    <row r="44" spans="1:8">
      <c r="A44" s="21"/>
      <c r="B44" s="22" t="s">
        <v>14</v>
      </c>
      <c r="C44" s="23" t="s">
        <v>44</v>
      </c>
      <c r="D44" s="24"/>
      <c r="E44" s="106">
        <v>1200000</v>
      </c>
      <c r="F44" s="99"/>
      <c r="G44" s="106">
        <v>1200000</v>
      </c>
      <c r="H44" s="63"/>
    </row>
    <row r="45" spans="1:8">
      <c r="A45" s="25"/>
      <c r="B45" s="26" t="s">
        <v>45</v>
      </c>
      <c r="C45" s="27" t="s">
        <v>46</v>
      </c>
      <c r="D45" s="122"/>
      <c r="E45" s="123">
        <v>2420000</v>
      </c>
      <c r="F45" s="124" t="s">
        <v>47</v>
      </c>
      <c r="G45" s="123">
        <v>2520000</v>
      </c>
      <c r="H45" s="124" t="s">
        <v>47</v>
      </c>
    </row>
    <row r="46" spans="1:8">
      <c r="A46" s="21"/>
      <c r="B46" s="22" t="s">
        <v>48</v>
      </c>
      <c r="C46" s="23" t="s">
        <v>49</v>
      </c>
      <c r="D46" s="24"/>
      <c r="E46" s="106">
        <v>374016.27517318592</v>
      </c>
      <c r="F46" s="132"/>
      <c r="G46" s="106">
        <v>373584.98061477998</v>
      </c>
      <c r="H46" s="133"/>
    </row>
    <row r="47" spans="1:8">
      <c r="A47" s="134"/>
      <c r="B47" s="26"/>
      <c r="C47" s="27"/>
      <c r="D47" s="27"/>
      <c r="E47" s="135"/>
      <c r="F47" s="136"/>
      <c r="G47" s="135"/>
      <c r="H47" s="137"/>
    </row>
    <row r="48" spans="1:8">
      <c r="A48" s="78" t="s">
        <v>54</v>
      </c>
      <c r="B48" s="117" t="s">
        <v>55</v>
      </c>
      <c r="C48" s="81"/>
      <c r="D48" s="81"/>
      <c r="E48" s="138"/>
      <c r="F48" s="139"/>
      <c r="G48" s="140"/>
      <c r="H48" s="139"/>
    </row>
    <row r="49" spans="1:8">
      <c r="A49" s="134"/>
      <c r="B49" s="42" t="s">
        <v>56</v>
      </c>
      <c r="C49" s="42" t="s">
        <v>57</v>
      </c>
      <c r="D49" s="42"/>
      <c r="E49" s="141">
        <v>951702791.30227995</v>
      </c>
      <c r="F49" s="142">
        <v>959250771.80930102</v>
      </c>
      <c r="G49" s="141">
        <v>951702791.30227995</v>
      </c>
      <c r="H49" s="142">
        <v>959250771.80930102</v>
      </c>
    </row>
    <row r="50" spans="1:8">
      <c r="A50" s="143"/>
      <c r="B50" s="144"/>
      <c r="C50" s="145" t="s">
        <v>58</v>
      </c>
      <c r="D50" s="144"/>
      <c r="E50" s="146">
        <v>5790088.6094979998</v>
      </c>
      <c r="F50" s="147"/>
      <c r="G50" s="146">
        <v>5790088.6094979998</v>
      </c>
      <c r="H50" s="147"/>
    </row>
    <row r="51" spans="1:8">
      <c r="A51" s="134"/>
      <c r="B51" s="148"/>
      <c r="C51" s="42" t="s">
        <v>59</v>
      </c>
      <c r="D51" s="131"/>
      <c r="E51" s="149">
        <v>1757891.8975229999</v>
      </c>
      <c r="F51" s="131"/>
      <c r="G51" s="149">
        <v>1757891.8975229999</v>
      </c>
      <c r="H51" s="131"/>
    </row>
    <row r="52" spans="1:8">
      <c r="A52" s="143"/>
      <c r="B52" s="110" t="s">
        <v>60</v>
      </c>
      <c r="C52" s="110" t="s">
        <v>61</v>
      </c>
      <c r="D52" s="150"/>
      <c r="E52" s="151">
        <v>1086076595.8083799</v>
      </c>
      <c r="F52" s="152">
        <v>1120465135.0856199</v>
      </c>
      <c r="G52" s="151">
        <v>1086076595.8083799</v>
      </c>
      <c r="H52" s="152">
        <v>1120465135.0856199</v>
      </c>
    </row>
    <row r="53" spans="1:8">
      <c r="A53" s="134"/>
      <c r="B53" s="153"/>
      <c r="C53" s="154" t="s">
        <v>62</v>
      </c>
      <c r="D53" s="154"/>
      <c r="E53" s="155">
        <v>25414543.377239998</v>
      </c>
      <c r="F53" s="156"/>
      <c r="G53" s="155">
        <v>25414543.377239998</v>
      </c>
      <c r="H53" s="156"/>
    </row>
    <row r="54" spans="1:8">
      <c r="A54" s="143"/>
      <c r="B54" s="157"/>
      <c r="C54" s="145" t="s">
        <v>63</v>
      </c>
      <c r="D54" s="145"/>
      <c r="E54" s="151">
        <v>8973995.9000000004</v>
      </c>
      <c r="F54" s="158"/>
      <c r="G54" s="151">
        <v>8973995.9000000004</v>
      </c>
      <c r="H54" s="158"/>
    </row>
    <row r="55" spans="1:8">
      <c r="A55" s="134"/>
      <c r="B55" s="42"/>
      <c r="C55" s="42" t="s">
        <v>64</v>
      </c>
      <c r="D55" s="42"/>
      <c r="E55" s="285">
        <v>0.85611835814596782</v>
      </c>
      <c r="F55" s="286"/>
      <c r="G55" s="287">
        <v>0.85611835814596782</v>
      </c>
      <c r="H55" s="288"/>
    </row>
    <row r="56" spans="1:8">
      <c r="A56" s="159"/>
      <c r="B56" s="160"/>
      <c r="C56" s="160" t="s">
        <v>65</v>
      </c>
      <c r="D56" s="161"/>
      <c r="E56" s="289" t="s">
        <v>66</v>
      </c>
      <c r="F56" s="290"/>
      <c r="G56" s="289" t="s">
        <v>66</v>
      </c>
      <c r="H56" s="290"/>
    </row>
    <row r="57" spans="1:8">
      <c r="A57" s="162"/>
      <c r="B57" s="133" t="s">
        <v>67</v>
      </c>
      <c r="C57" s="133" t="s">
        <v>68</v>
      </c>
      <c r="D57" s="133"/>
      <c r="E57" s="163">
        <v>0</v>
      </c>
      <c r="F57" s="133"/>
      <c r="G57" s="163">
        <v>0</v>
      </c>
      <c r="H57" s="63"/>
    </row>
    <row r="58" spans="1:8">
      <c r="A58" s="164" t="s">
        <v>69</v>
      </c>
      <c r="B58" s="165" t="s">
        <v>70</v>
      </c>
      <c r="C58" s="166"/>
      <c r="D58" s="166"/>
      <c r="E58" s="167"/>
      <c r="F58" s="168"/>
      <c r="G58" s="167"/>
      <c r="H58" s="168"/>
    </row>
    <row r="59" spans="1:8">
      <c r="A59" s="143"/>
      <c r="B59" s="157"/>
      <c r="C59" s="145" t="s">
        <v>71</v>
      </c>
      <c r="D59" s="145"/>
      <c r="E59" s="169">
        <v>5.3999999999999999E-2</v>
      </c>
      <c r="F59" s="170"/>
      <c r="G59" s="169">
        <v>5.3999999999999999E-2</v>
      </c>
      <c r="H59" s="170"/>
    </row>
    <row r="60" spans="1:8">
      <c r="A60" s="164" t="s">
        <v>72</v>
      </c>
      <c r="B60" s="165" t="s">
        <v>73</v>
      </c>
      <c r="C60" s="166"/>
      <c r="D60" s="166"/>
      <c r="E60" s="274">
        <v>46225</v>
      </c>
      <c r="F60" s="275"/>
      <c r="G60" s="274">
        <v>46226</v>
      </c>
      <c r="H60" s="275"/>
    </row>
    <row r="61" spans="1:8">
      <c r="A61" s="134"/>
      <c r="B61" s="153"/>
      <c r="C61" s="154" t="s">
        <v>74</v>
      </c>
      <c r="D61" s="154"/>
      <c r="E61" s="171">
        <v>0.89257385576353476</v>
      </c>
      <c r="F61" s="172"/>
      <c r="G61" s="171">
        <v>0.8917461687022431</v>
      </c>
      <c r="H61" s="173"/>
    </row>
    <row r="62" spans="1:8">
      <c r="A62" s="143"/>
      <c r="B62" s="157"/>
      <c r="C62" s="145" t="s">
        <v>75</v>
      </c>
      <c r="D62" s="145"/>
      <c r="E62" s="174">
        <v>0.74386140100993137</v>
      </c>
      <c r="F62" s="175"/>
      <c r="G62" s="174">
        <v>0.75015589872414412</v>
      </c>
      <c r="H62" s="175"/>
    </row>
    <row r="63" spans="1:8">
      <c r="A63" s="134"/>
      <c r="B63" s="42"/>
      <c r="C63" s="42" t="s">
        <v>76</v>
      </c>
      <c r="D63" s="176"/>
      <c r="E63" s="171">
        <v>0.86233281459940647</v>
      </c>
      <c r="F63" s="177"/>
      <c r="G63" s="171">
        <v>0.86310141503205884</v>
      </c>
      <c r="H63" s="177"/>
    </row>
    <row r="64" spans="1:8">
      <c r="A64" s="164" t="s">
        <v>77</v>
      </c>
      <c r="B64" s="165" t="s">
        <v>78</v>
      </c>
      <c r="C64" s="166"/>
      <c r="D64" s="166"/>
      <c r="E64" s="82"/>
      <c r="F64" s="84"/>
      <c r="G64" s="82"/>
      <c r="H64" s="84"/>
    </row>
    <row r="65" spans="1:8">
      <c r="A65" s="134"/>
      <c r="B65" s="153"/>
      <c r="C65" s="154" t="s">
        <v>79</v>
      </c>
      <c r="D65" s="154"/>
      <c r="E65" s="171">
        <v>0.86184834663663268</v>
      </c>
      <c r="F65" s="178" t="s">
        <v>80</v>
      </c>
      <c r="G65" s="171">
        <v>0.91805406986002636</v>
      </c>
      <c r="H65" s="179"/>
    </row>
    <row r="66" spans="1:8">
      <c r="A66" s="180"/>
      <c r="B66" s="181"/>
      <c r="C66" s="182" t="s">
        <v>81</v>
      </c>
      <c r="D66" s="182"/>
      <c r="E66" s="183">
        <v>0.20079167937273182</v>
      </c>
      <c r="F66" s="184" t="s">
        <v>80</v>
      </c>
      <c r="G66" s="183">
        <v>0.2140696875681275</v>
      </c>
      <c r="H66" s="184"/>
    </row>
    <row r="67" spans="1:8">
      <c r="B67"/>
      <c r="G67" s="185"/>
      <c r="H67" s="186"/>
    </row>
    <row r="68" spans="1:8">
      <c r="A68" s="187" t="s">
        <v>82</v>
      </c>
      <c r="B68" s="187"/>
      <c r="C68" s="187" t="s">
        <v>83</v>
      </c>
      <c r="D68" s="187"/>
      <c r="E68" s="187"/>
      <c r="F68" s="187"/>
      <c r="G68" s="188"/>
      <c r="H68" s="186"/>
    </row>
    <row r="69" spans="1:8">
      <c r="A69" s="189"/>
      <c r="B69" s="189"/>
      <c r="C69" s="189" t="s">
        <v>84</v>
      </c>
      <c r="D69" s="189"/>
      <c r="E69" s="189"/>
      <c r="F69" s="189"/>
      <c r="G69" s="188"/>
      <c r="H69" s="186"/>
    </row>
    <row r="70" spans="1:8">
      <c r="A70" s="189"/>
      <c r="B70"/>
      <c r="C70" s="189" t="s">
        <v>85</v>
      </c>
      <c r="D70" s="189"/>
      <c r="E70" s="189"/>
      <c r="F70" s="189"/>
      <c r="G70" s="188"/>
      <c r="H70" s="186"/>
    </row>
    <row r="71" spans="1:8">
      <c r="A71" s="190" t="s">
        <v>86</v>
      </c>
      <c r="B71" s="190"/>
      <c r="C71" s="190" t="s">
        <v>87</v>
      </c>
      <c r="D71" s="190"/>
      <c r="E71" s="190"/>
      <c r="F71" s="190"/>
      <c r="G71" s="191"/>
      <c r="H71" s="186"/>
    </row>
    <row r="72" spans="1:8">
      <c r="A72" s="192" t="s">
        <v>88</v>
      </c>
      <c r="B72" s="192"/>
      <c r="C72" s="192"/>
      <c r="D72" s="192"/>
      <c r="E72" s="192"/>
      <c r="F72" s="192"/>
      <c r="G72" s="193"/>
      <c r="H72" s="186"/>
    </row>
    <row r="73" spans="1:8">
      <c r="A73" s="185" t="s">
        <v>89</v>
      </c>
      <c r="B73" s="185"/>
      <c r="C73" s="185"/>
      <c r="D73" s="185"/>
      <c r="E73" s="185"/>
      <c r="F73" s="185"/>
      <c r="G73" s="194"/>
      <c r="H73" s="186"/>
    </row>
    <row r="74" spans="1:8">
      <c r="A74" s="195" t="s">
        <v>90</v>
      </c>
      <c r="B74" s="195"/>
      <c r="C74" s="195"/>
      <c r="D74" s="195"/>
      <c r="E74" s="195"/>
      <c r="F74" s="195"/>
      <c r="G74" s="195"/>
      <c r="H74" s="186"/>
    </row>
    <row r="75" spans="1:8">
      <c r="A75" s="276" t="s">
        <v>91</v>
      </c>
      <c r="B75" s="277"/>
      <c r="C75" s="277"/>
      <c r="D75" s="277"/>
      <c r="E75" s="277"/>
      <c r="F75" s="277"/>
      <c r="G75" s="277"/>
      <c r="H75" s="278"/>
    </row>
    <row r="76" spans="1:8">
      <c r="A76" s="279"/>
      <c r="B76" s="280"/>
      <c r="C76" s="280"/>
      <c r="D76" s="280"/>
      <c r="E76" s="280"/>
      <c r="F76" s="280"/>
      <c r="G76" s="280"/>
      <c r="H76" s="281"/>
    </row>
    <row r="77" spans="1:8">
      <c r="A77" s="279"/>
      <c r="B77" s="280"/>
      <c r="C77" s="280"/>
      <c r="D77" s="280"/>
      <c r="E77" s="280"/>
      <c r="F77" s="280"/>
      <c r="G77" s="280"/>
      <c r="H77" s="281"/>
    </row>
    <row r="78" spans="1:8">
      <c r="A78" s="279"/>
      <c r="B78" s="280"/>
      <c r="C78" s="280"/>
      <c r="D78" s="280"/>
      <c r="E78" s="280"/>
      <c r="F78" s="280"/>
      <c r="G78" s="280"/>
      <c r="H78" s="281"/>
    </row>
    <row r="79" spans="1:8">
      <c r="A79" s="282"/>
      <c r="B79" s="283"/>
      <c r="C79" s="283"/>
      <c r="D79" s="283"/>
      <c r="E79" s="283"/>
      <c r="F79" s="283"/>
      <c r="G79" s="283"/>
      <c r="H79" s="284"/>
    </row>
    <row r="80" spans="1:8">
      <c r="A80" s="196"/>
      <c r="B80" s="196"/>
      <c r="C80" s="196"/>
      <c r="D80" s="196"/>
      <c r="E80" s="126" t="s">
        <v>92</v>
      </c>
      <c r="F80" s="196"/>
      <c r="G80" s="196"/>
      <c r="H80" s="196"/>
    </row>
    <row r="81" spans="1:8">
      <c r="A81" s="196"/>
      <c r="B81" s="196"/>
      <c r="C81" s="196"/>
      <c r="D81" s="196"/>
      <c r="E81" s="196"/>
      <c r="F81" s="196"/>
      <c r="G81" s="196"/>
      <c r="H81" s="196"/>
    </row>
    <row r="82" spans="1:8">
      <c r="A82" s="196"/>
      <c r="B82" s="196"/>
      <c r="C82" s="196"/>
      <c r="D82" s="196"/>
      <c r="E82" s="124" t="s">
        <v>93</v>
      </c>
      <c r="F82" s="124" t="s">
        <v>94</v>
      </c>
      <c r="G82" s="124" t="s">
        <v>94</v>
      </c>
      <c r="H82" s="196"/>
    </row>
    <row r="83" spans="1:8">
      <c r="A83" s="192"/>
      <c r="B83" s="192"/>
      <c r="C83" s="192"/>
      <c r="D83" s="192"/>
      <c r="E83" s="197" t="s">
        <v>95</v>
      </c>
      <c r="F83" s="197" t="e">
        <v>#REF!</v>
      </c>
      <c r="G83" s="192"/>
      <c r="H83" s="192"/>
    </row>
    <row r="84" spans="1:8">
      <c r="A84" s="192"/>
      <c r="B84" s="192"/>
      <c r="C84" s="192"/>
      <c r="D84" s="192"/>
      <c r="E84" s="197" t="e">
        <v>#VALUE!</v>
      </c>
      <c r="F84" s="192"/>
      <c r="G84" s="192"/>
      <c r="H84" s="192"/>
    </row>
    <row r="85" spans="1:8">
      <c r="A85" s="192"/>
      <c r="B85" s="192"/>
      <c r="C85" s="192"/>
      <c r="D85" s="192"/>
      <c r="E85" s="192"/>
      <c r="F85" s="192"/>
      <c r="G85" s="192"/>
      <c r="H85" s="192"/>
    </row>
    <row r="86" spans="1:8">
      <c r="A86" s="192"/>
      <c r="B86" s="192"/>
      <c r="C86" s="192"/>
      <c r="D86" s="192"/>
      <c r="E86" s="192"/>
      <c r="F86" s="192"/>
      <c r="G86" s="192"/>
      <c r="H86" s="192"/>
    </row>
    <row r="87" spans="1:8">
      <c r="A87" s="193"/>
      <c r="B87" s="193"/>
      <c r="C87" s="193"/>
      <c r="D87" s="193"/>
      <c r="E87" s="193"/>
      <c r="F87" s="193"/>
      <c r="G87" s="193"/>
      <c r="H87" s="193"/>
    </row>
    <row r="88" spans="1:8">
      <c r="A88" s="193"/>
      <c r="B88" s="193"/>
      <c r="C88" s="193"/>
      <c r="D88" s="193"/>
      <c r="E88" s="191">
        <v>9268.9129099758429</v>
      </c>
      <c r="F88" s="193"/>
      <c r="G88" s="193" t="s">
        <v>96</v>
      </c>
      <c r="H88" s="198"/>
    </row>
    <row r="89" spans="1:8">
      <c r="E89" s="199">
        <v>250000</v>
      </c>
      <c r="H89" s="198"/>
    </row>
    <row r="90" spans="1:8">
      <c r="D90" s="200"/>
      <c r="E90" s="199">
        <v>100000</v>
      </c>
      <c r="H90" s="201"/>
    </row>
    <row r="91" spans="1:8">
      <c r="G91" t="s">
        <v>97</v>
      </c>
      <c r="H91" s="198"/>
    </row>
    <row r="92" spans="1:8">
      <c r="C92" t="s">
        <v>98</v>
      </c>
      <c r="G92" t="s">
        <v>99</v>
      </c>
      <c r="H92" s="198"/>
    </row>
    <row r="93" spans="1:8">
      <c r="G93" t="s">
        <v>100</v>
      </c>
      <c r="H93" s="198"/>
    </row>
    <row r="94" spans="1:8">
      <c r="A94" s="202" t="s">
        <v>101</v>
      </c>
      <c r="F94" s="203">
        <v>46229</v>
      </c>
      <c r="G94" t="s">
        <v>102</v>
      </c>
      <c r="H94" s="198"/>
    </row>
    <row r="95" spans="1:8">
      <c r="F95" s="202"/>
      <c r="H95" s="201"/>
    </row>
    <row r="96" spans="1:8">
      <c r="E96" s="204">
        <v>46229.646327430557</v>
      </c>
      <c r="F96" s="205">
        <v>46204</v>
      </c>
    </row>
    <row r="97" spans="4:8">
      <c r="E97" s="202">
        <v>46229.646327430557</v>
      </c>
      <c r="F97" s="202"/>
    </row>
    <row r="98" spans="4:8">
      <c r="E98" s="206" t="s">
        <v>103</v>
      </c>
    </row>
    <row r="100" spans="4:8">
      <c r="H100" s="198"/>
    </row>
    <row r="101" spans="4:8">
      <c r="H101" s="198"/>
    </row>
    <row r="102" spans="4:8">
      <c r="H102" s="201"/>
    </row>
    <row r="103" spans="4:8">
      <c r="H103" s="198"/>
    </row>
    <row r="104" spans="4:8">
      <c r="H104" s="198"/>
    </row>
    <row r="105" spans="4:8">
      <c r="G105" s="207" t="s">
        <v>93</v>
      </c>
      <c r="H105" s="198"/>
    </row>
    <row r="106" spans="4:8">
      <c r="D106" s="208" t="s">
        <v>104</v>
      </c>
      <c r="E106" s="208" t="s">
        <v>105</v>
      </c>
      <c r="F106" s="208"/>
      <c r="H106" s="201"/>
    </row>
    <row r="107" spans="4:8">
      <c r="D107" s="209">
        <v>0</v>
      </c>
      <c r="E107" s="210">
        <v>2411192170366.5649</v>
      </c>
      <c r="F107" s="211">
        <v>2411192170366.5649</v>
      </c>
    </row>
    <row r="108" spans="4:8">
      <c r="D108" s="208" t="s">
        <v>61</v>
      </c>
      <c r="E108" s="208" t="s">
        <v>106</v>
      </c>
      <c r="F108" s="208"/>
    </row>
    <row r="109" spans="4:8">
      <c r="D109" s="209">
        <v>0</v>
      </c>
      <c r="E109" s="210">
        <v>1996050000000</v>
      </c>
      <c r="F109" s="210">
        <v>1996050000000</v>
      </c>
    </row>
    <row r="110" spans="4:8">
      <c r="D110" s="208"/>
      <c r="E110" s="208"/>
      <c r="F110" s="208"/>
    </row>
    <row r="111" spans="4:8">
      <c r="D111" s="208"/>
      <c r="E111" s="208"/>
      <c r="F111" s="212">
        <v>1.2079818493357206</v>
      </c>
    </row>
    <row r="124" spans="7:8">
      <c r="G124" s="213"/>
    </row>
    <row r="125" spans="7:8">
      <c r="H125" s="214"/>
    </row>
    <row r="126" spans="7:8">
      <c r="G126" s="215"/>
      <c r="H126" s="216"/>
    </row>
    <row r="127" spans="7:8">
      <c r="H127" s="217"/>
    </row>
    <row r="128" spans="7:8">
      <c r="G128" s="218"/>
      <c r="H128" s="219"/>
    </row>
    <row r="129" spans="4:8">
      <c r="G129" s="220"/>
      <c r="H129" s="217"/>
    </row>
    <row r="130" spans="4:8">
      <c r="D130" s="221"/>
      <c r="E130" s="221"/>
      <c r="F130" s="222"/>
      <c r="G130" s="223"/>
      <c r="H130" s="224"/>
    </row>
    <row r="131" spans="4:8">
      <c r="D131" s="225"/>
      <c r="E131" s="226"/>
      <c r="F131" s="227"/>
      <c r="H131" s="228"/>
    </row>
    <row r="132" spans="4:8">
      <c r="D132" s="229"/>
      <c r="E132" s="230"/>
      <c r="F132" s="231"/>
      <c r="H132" s="232"/>
    </row>
    <row r="133" spans="4:8">
      <c r="E133" s="233"/>
      <c r="F133" s="234"/>
      <c r="G133" s="235"/>
      <c r="H133" s="232"/>
    </row>
    <row r="134" spans="4:8">
      <c r="E134" s="233"/>
      <c r="F134" s="236"/>
      <c r="G134" s="215"/>
      <c r="H134" s="235"/>
    </row>
    <row r="135" spans="4:8">
      <c r="D135" s="237"/>
      <c r="E135" s="238"/>
      <c r="F135" s="224"/>
      <c r="H135" s="239"/>
    </row>
    <row r="136" spans="4:8">
      <c r="D136" s="237"/>
      <c r="E136" s="238"/>
      <c r="F136" s="228"/>
      <c r="G136" s="240"/>
      <c r="H136" s="241"/>
    </row>
    <row r="137" spans="4:8">
      <c r="D137" s="242"/>
      <c r="E137" s="226"/>
      <c r="F137" s="243"/>
      <c r="H137" s="244"/>
    </row>
    <row r="138" spans="4:8">
      <c r="D138" s="242"/>
      <c r="E138" s="226"/>
      <c r="F138" s="243"/>
      <c r="H138" s="245"/>
    </row>
    <row r="139" spans="4:8">
      <c r="E139" s="233"/>
      <c r="F139" s="235"/>
      <c r="G139" s="246"/>
      <c r="H139" s="247"/>
    </row>
    <row r="140" spans="4:8">
      <c r="D140" s="221"/>
      <c r="E140" s="79"/>
      <c r="F140" s="214"/>
      <c r="H140" s="241"/>
    </row>
    <row r="141" spans="4:8">
      <c r="D141" s="237"/>
      <c r="E141" s="238"/>
      <c r="F141" s="241"/>
      <c r="G141" s="248"/>
    </row>
    <row r="142" spans="4:8">
      <c r="D142" s="242"/>
      <c r="E142" s="226"/>
      <c r="F142" s="249"/>
      <c r="G142" s="250"/>
      <c r="H142" s="248"/>
    </row>
    <row r="143" spans="4:8">
      <c r="D143" s="237"/>
      <c r="E143" s="238"/>
      <c r="F143" s="245"/>
      <c r="G143" s="251"/>
      <c r="H143" s="223"/>
    </row>
    <row r="144" spans="4:8">
      <c r="D144" s="242"/>
      <c r="E144" s="226"/>
      <c r="F144" s="252"/>
      <c r="G144" s="250"/>
      <c r="H144" s="223"/>
    </row>
    <row r="145" spans="4:8">
      <c r="D145" s="237"/>
      <c r="E145" s="238"/>
      <c r="F145" s="253"/>
      <c r="G145" s="250"/>
      <c r="H145" s="223"/>
    </row>
    <row r="146" spans="4:8">
      <c r="H146" s="223"/>
    </row>
    <row r="147" spans="4:8">
      <c r="D147" s="221"/>
      <c r="E147" s="221"/>
      <c r="F147" s="221"/>
      <c r="G147" s="248"/>
    </row>
    <row r="148" spans="4:8">
      <c r="D148" s="237"/>
      <c r="E148" s="238"/>
      <c r="F148" s="199"/>
      <c r="G148" s="250"/>
      <c r="H148" s="248"/>
    </row>
    <row r="149" spans="4:8">
      <c r="D149" s="242"/>
      <c r="E149" s="226"/>
      <c r="F149" s="254"/>
      <c r="G149" s="251"/>
      <c r="H149" s="255"/>
    </row>
    <row r="150" spans="4:8">
      <c r="D150" s="237"/>
      <c r="E150" s="238"/>
      <c r="F150" s="199"/>
      <c r="G150" s="250"/>
      <c r="H150" s="255"/>
    </row>
    <row r="151" spans="4:8">
      <c r="D151" s="237"/>
      <c r="E151" s="238"/>
      <c r="F151" s="199"/>
      <c r="G151" s="250"/>
      <c r="H151" s="255"/>
    </row>
    <row r="152" spans="4:8">
      <c r="H152" s="255"/>
    </row>
    <row r="153" spans="4:8">
      <c r="D153" s="221"/>
      <c r="E153" s="221"/>
      <c r="F153" s="221"/>
    </row>
    <row r="154" spans="4:8">
      <c r="D154" s="237"/>
      <c r="E154" s="238"/>
      <c r="F154" s="199"/>
    </row>
    <row r="155" spans="4:8">
      <c r="D155" s="242"/>
      <c r="E155" s="226"/>
      <c r="F155" s="254"/>
    </row>
    <row r="156" spans="4:8">
      <c r="D156" s="237"/>
      <c r="E156" s="238"/>
      <c r="F156" s="199"/>
    </row>
    <row r="157" spans="4:8">
      <c r="F157" s="199"/>
    </row>
  </sheetData>
  <mergeCells count="13">
    <mergeCell ref="A6:H6"/>
    <mergeCell ref="A7:H7"/>
    <mergeCell ref="E8:F8"/>
    <mergeCell ref="G8:H8"/>
    <mergeCell ref="E10:F10"/>
    <mergeCell ref="G10:H10"/>
    <mergeCell ref="A75:H79"/>
    <mergeCell ref="E55:F55"/>
    <mergeCell ref="G55:H55"/>
    <mergeCell ref="E56:F56"/>
    <mergeCell ref="G56:H56"/>
    <mergeCell ref="E60:F60"/>
    <mergeCell ref="G60:H60"/>
  </mergeCells>
  <conditionalFormatting sqref="F13 H13 F29 H29 F39 H39 F45 H45">
    <cfRule type="containsText" dxfId="51" priority="9" operator="containsText" text="RED">
      <formula>NOT(ISERROR(SEARCH("RED",F13)))</formula>
    </cfRule>
    <cfRule type="containsText" dxfId="50" priority="10" operator="containsText" text="DARK YELLOW">
      <formula>NOT(ISERROR(SEARCH("DARK YELLOW",F13)))</formula>
    </cfRule>
    <cfRule type="containsText" dxfId="49" priority="11" operator="containsText" text="LIGHT YELLOW">
      <formula>NOT(ISERROR(SEARCH("LIGHT YELLOW",F13)))</formula>
    </cfRule>
    <cfRule type="containsText" dxfId="48" priority="12" operator="containsText" text="LIGHT GREEN">
      <formula>NOT(ISERROR(SEARCH("LIGHT GREEN",F13)))</formula>
    </cfRule>
    <cfRule type="containsText" dxfId="47" priority="13" operator="containsText" text="DARK GREEN">
      <formula>NOT(ISERROR(SEARCH("DARK GREEN",F13)))</formula>
    </cfRule>
  </conditionalFormatting>
  <conditionalFormatting sqref="F39 H39 F45 H45">
    <cfRule type="containsText" dxfId="46" priority="8" operator="containsText" text="Red">
      <formula>NOT(ISERROR(SEARCH("Red",F39)))</formula>
    </cfRule>
  </conditionalFormatting>
  <conditionalFormatting sqref="F39 H39 F45 H45">
    <cfRule type="containsText" dxfId="45" priority="4" operator="containsText" text="Dark Yellow">
      <formula>NOT(ISERROR(SEARCH("Dark Yellow",F39)))</formula>
    </cfRule>
    <cfRule type="containsText" dxfId="44" priority="5" operator="containsText" text="Light Yellow">
      <formula>NOT(ISERROR(SEARCH("Light Yellow",F39)))</formula>
    </cfRule>
    <cfRule type="containsText" dxfId="43" priority="6" operator="containsText" text="Light Green">
      <formula>NOT(ISERROR(SEARCH("Light Green",F39)))</formula>
    </cfRule>
    <cfRule type="containsText" dxfId="42" priority="7" operator="containsText" text="Dark Green">
      <formula>NOT(ISERROR(SEARCH("Dark Green",F39)))</formula>
    </cfRule>
  </conditionalFormatting>
  <conditionalFormatting sqref="G129:G130 H130:H131 F135:F136">
    <cfRule type="containsText" dxfId="41" priority="1" operator="containsText" text="Red">
      <formula>NOT(ISERROR(SEARCH("Red",F129)))</formula>
    </cfRule>
    <cfRule type="containsText" dxfId="40" priority="2" operator="containsText" text="Green">
      <formula>NOT(ISERROR(SEARCH("Green",F129)))</formula>
    </cfRule>
    <cfRule type="containsText" dxfId="39" priority="3" operator="containsText" text="Yellow">
      <formula>NOT(ISERROR(SEARCH("Yellow",F129)))</formula>
    </cfRule>
  </conditionalFormatting>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57"/>
  <sheetViews>
    <sheetView zoomScale="60" zoomScaleNormal="60" workbookViewId="0">
      <selection activeCell="N38" sqref="N38"/>
    </sheetView>
  </sheetViews>
  <sheetFormatPr defaultRowHeight="15"/>
  <cols>
    <col min="1" max="1" width="4.85546875" customWidth="1"/>
    <col min="2" max="2" width="2.5703125" style="5" customWidth="1"/>
    <col min="3" max="3" width="20.5703125" customWidth="1"/>
    <col min="4" max="4" width="59" customWidth="1"/>
    <col min="5" max="5" width="27.28515625" customWidth="1"/>
    <col min="6" max="6" width="38.5703125" customWidth="1"/>
    <col min="7" max="7" width="25.42578125" customWidth="1"/>
    <col min="8" max="8" width="40.85546875" customWidth="1"/>
    <col min="13" max="13" width="2.7109375" bestFit="1" customWidth="1"/>
  </cols>
  <sheetData>
    <row r="1" spans="1:14" ht="23.25">
      <c r="A1" s="1"/>
      <c r="B1" s="2"/>
      <c r="C1" s="2"/>
      <c r="D1" s="2"/>
    </row>
    <row r="2" spans="1:14">
      <c r="A2" s="3"/>
      <c r="B2" s="3"/>
      <c r="C2" s="3"/>
      <c r="D2" s="3"/>
    </row>
    <row r="3" spans="1:14">
      <c r="A3" s="4"/>
      <c r="B3" s="4"/>
      <c r="C3" s="4"/>
      <c r="D3" s="4"/>
    </row>
    <row r="4" spans="1:14">
      <c r="A4" s="4"/>
      <c r="B4" s="4"/>
      <c r="C4" s="4"/>
      <c r="D4" s="4"/>
    </row>
    <row r="5" spans="1:14" ht="15.75" thickBot="1">
      <c r="C5" s="3"/>
      <c r="D5" s="256"/>
      <c r="E5" s="7"/>
      <c r="G5" s="8" t="s">
        <v>0</v>
      </c>
      <c r="H5" s="9" t="s">
        <v>107</v>
      </c>
    </row>
    <row r="6" spans="1:14" ht="27" thickBot="1">
      <c r="A6" s="291" t="s">
        <v>2</v>
      </c>
      <c r="B6" s="292"/>
      <c r="C6" s="292"/>
      <c r="D6" s="292"/>
      <c r="E6" s="292"/>
      <c r="F6" s="292"/>
      <c r="G6" s="292"/>
      <c r="H6" s="293"/>
    </row>
    <row r="7" spans="1:14" ht="18.75">
      <c r="A7" s="294" t="s">
        <v>3</v>
      </c>
      <c r="B7" s="295"/>
      <c r="C7" s="295"/>
      <c r="D7" s="295"/>
      <c r="E7" s="295"/>
      <c r="F7" s="295"/>
      <c r="G7" s="295"/>
      <c r="H7" s="296"/>
    </row>
    <row r="8" spans="1:14">
      <c r="A8" s="10" t="s">
        <v>4</v>
      </c>
      <c r="B8" s="11"/>
      <c r="C8" s="12" t="s">
        <v>5</v>
      </c>
      <c r="D8" s="13"/>
      <c r="E8" s="297">
        <v>45769</v>
      </c>
      <c r="F8" s="298"/>
      <c r="G8" s="299">
        <v>45770</v>
      </c>
      <c r="H8" s="300"/>
    </row>
    <row r="9" spans="1:14">
      <c r="A9" s="14" t="s">
        <v>6</v>
      </c>
      <c r="B9" s="15" t="s">
        <v>7</v>
      </c>
      <c r="C9" s="16"/>
      <c r="D9" s="17"/>
      <c r="E9" s="18"/>
      <c r="F9" s="19"/>
      <c r="G9" s="18"/>
      <c r="H9" s="20"/>
      <c r="M9" t="str">
        <f>IF(B9=Sheet1!B9,"",1)</f>
        <v/>
      </c>
      <c r="N9" t="str">
        <f>IF(C9=Sheet1!C9,"",1)</f>
        <v/>
      </c>
    </row>
    <row r="10" spans="1:14">
      <c r="A10" s="21"/>
      <c r="B10" s="22" t="s">
        <v>8</v>
      </c>
      <c r="C10" s="23" t="s">
        <v>9</v>
      </c>
      <c r="D10" s="24"/>
      <c r="E10" s="301" t="s">
        <v>10</v>
      </c>
      <c r="F10" s="302"/>
      <c r="G10" s="301" t="s">
        <v>10</v>
      </c>
      <c r="H10" s="303"/>
      <c r="M10" t="str">
        <f>IF(B10=Sheet1!B10,"",1)</f>
        <v/>
      </c>
      <c r="N10" t="str">
        <f>IF(C10=Sheet1!C10,"",1)</f>
        <v/>
      </c>
    </row>
    <row r="11" spans="1:14" ht="15.75">
      <c r="A11" s="25"/>
      <c r="B11" s="26"/>
      <c r="C11" s="27" t="s">
        <v>11</v>
      </c>
      <c r="D11" s="28"/>
      <c r="E11" s="29">
        <v>8666970</v>
      </c>
      <c r="F11" s="30"/>
      <c r="G11" s="29">
        <v>8666970</v>
      </c>
      <c r="H11" s="31"/>
      <c r="M11" t="str">
        <f>IF(B11=Sheet1!B11,"",1)</f>
        <v/>
      </c>
      <c r="N11" t="str">
        <f>IF(C11=Sheet1!C11,"",1)</f>
        <v/>
      </c>
    </row>
    <row r="12" spans="1:14">
      <c r="A12" s="21"/>
      <c r="B12" s="22"/>
      <c r="C12" s="23" t="s">
        <v>9</v>
      </c>
      <c r="D12" s="32"/>
      <c r="E12" s="257">
        <v>9154009.5250429995</v>
      </c>
      <c r="F12" s="258">
        <v>1.0330729271294352</v>
      </c>
      <c r="G12" s="33">
        <v>8842957.0306429993</v>
      </c>
      <c r="H12" s="35">
        <v>1.0236671075015835</v>
      </c>
      <c r="M12" t="str">
        <f>IF(B12=Sheet1!B12,"",1)</f>
        <v/>
      </c>
      <c r="N12" t="str">
        <f>IF(C12=Sheet1!C12,"",1)</f>
        <v/>
      </c>
    </row>
    <row r="13" spans="1:14">
      <c r="A13" s="25"/>
      <c r="B13" s="26"/>
      <c r="C13" s="27" t="s">
        <v>12</v>
      </c>
      <c r="D13" s="28"/>
      <c r="E13" s="259">
        <v>8953612.0672430005</v>
      </c>
      <c r="F13" s="260" t="s">
        <v>13</v>
      </c>
      <c r="G13" s="29">
        <v>8872092.1107030008</v>
      </c>
      <c r="H13" s="261" t="s">
        <v>13</v>
      </c>
      <c r="M13" t="str">
        <f>IF(B13=Sheet1!B13,"",1)</f>
        <v/>
      </c>
      <c r="N13" t="str">
        <f>IF(C13=Sheet1!C13,"",1)</f>
        <v/>
      </c>
    </row>
    <row r="14" spans="1:14">
      <c r="A14" s="21"/>
      <c r="B14" s="22" t="s">
        <v>14</v>
      </c>
      <c r="C14" s="23" t="s">
        <v>15</v>
      </c>
      <c r="D14" s="24"/>
      <c r="E14" s="38"/>
      <c r="F14" s="39"/>
      <c r="G14" s="38"/>
      <c r="H14" s="40"/>
      <c r="M14" t="str">
        <f>IF(B14=Sheet1!B14,"",1)</f>
        <v/>
      </c>
      <c r="N14" t="str">
        <f>IF(C14=Sheet1!C14,"",1)</f>
        <v/>
      </c>
    </row>
    <row r="15" spans="1:14">
      <c r="A15" s="25"/>
      <c r="B15" s="41"/>
      <c r="C15" s="42" t="s">
        <v>16</v>
      </c>
      <c r="D15" s="41"/>
      <c r="E15" s="43">
        <v>4.0300000000000002E-2</v>
      </c>
      <c r="F15" s="44">
        <v>4.0300000000000002E-2</v>
      </c>
      <c r="G15" s="43">
        <v>4.0300000000000002E-2</v>
      </c>
      <c r="H15" s="45">
        <v>4.0300000000000002E-2</v>
      </c>
      <c r="M15" t="str">
        <f>IF(B15=Sheet1!B15,"",1)</f>
        <v/>
      </c>
      <c r="N15" t="str">
        <f>IF(C15=Sheet1!C15,"",1)</f>
        <v/>
      </c>
    </row>
    <row r="16" spans="1:14">
      <c r="A16" s="21"/>
      <c r="B16" s="46"/>
      <c r="C16" s="46" t="s">
        <v>17</v>
      </c>
      <c r="D16" s="46"/>
      <c r="E16" s="47">
        <v>25783542</v>
      </c>
      <c r="F16" s="48"/>
      <c r="G16" s="47">
        <v>25790670</v>
      </c>
      <c r="H16" s="49"/>
      <c r="M16" t="str">
        <f>IF(B16=Sheet1!B16,"",1)</f>
        <v/>
      </c>
      <c r="N16" t="str">
        <f>IF(C16=Sheet1!C16,"",1)</f>
        <v/>
      </c>
    </row>
    <row r="17" spans="1:14">
      <c r="A17" s="25"/>
      <c r="B17" s="41"/>
      <c r="C17" s="41" t="s">
        <v>18</v>
      </c>
      <c r="D17" s="41"/>
      <c r="E17" s="50">
        <v>640566361.5625</v>
      </c>
      <c r="F17" s="51"/>
      <c r="G17" s="50">
        <v>640566361.5625</v>
      </c>
      <c r="H17" s="52"/>
      <c r="M17" t="str">
        <f>IF(B17=Sheet1!B17,"",1)</f>
        <v/>
      </c>
      <c r="N17" t="str">
        <f>IF(C17=Sheet1!C17,"",1)</f>
        <v/>
      </c>
    </row>
    <row r="18" spans="1:14">
      <c r="A18" s="53"/>
      <c r="B18" s="54"/>
      <c r="C18" s="55" t="s">
        <v>19</v>
      </c>
      <c r="D18" s="54"/>
      <c r="E18" s="56">
        <v>4.2125000000000003E-2</v>
      </c>
      <c r="F18" s="262">
        <v>2.1250000000000088E-3</v>
      </c>
      <c r="G18" s="56">
        <v>4.1760000000000005E-2</v>
      </c>
      <c r="H18" s="263">
        <v>1.7600000000000116E-3</v>
      </c>
      <c r="M18" t="str">
        <f>IF(B18=Sheet1!B18,"",1)</f>
        <v/>
      </c>
      <c r="N18" t="str">
        <f>IF(C18=Sheet1!C18,"",1)</f>
        <v/>
      </c>
    </row>
    <row r="19" spans="1:14">
      <c r="A19" s="25"/>
      <c r="B19" s="41"/>
      <c r="C19" s="42" t="s">
        <v>20</v>
      </c>
      <c r="D19" s="41"/>
      <c r="E19" s="43">
        <v>3.9999999999999994E-2</v>
      </c>
      <c r="F19" s="59"/>
      <c r="G19" s="43">
        <v>3.9999999999999994E-2</v>
      </c>
      <c r="H19" s="60"/>
      <c r="M19" t="str">
        <f>IF(B19=Sheet1!B19,"",1)</f>
        <v/>
      </c>
      <c r="N19" t="str">
        <f>IF(C19=Sheet1!C19,"",1)</f>
        <v/>
      </c>
    </row>
    <row r="20" spans="1:14">
      <c r="A20" s="21"/>
      <c r="B20" s="46"/>
      <c r="C20" s="46" t="s">
        <v>21</v>
      </c>
      <c r="D20" s="46"/>
      <c r="E20" s="61">
        <v>192169.90846875552</v>
      </c>
      <c r="F20" s="62"/>
      <c r="G20" s="61">
        <v>192169.90846875601</v>
      </c>
      <c r="H20" s="63"/>
      <c r="M20" t="str">
        <f>IF(B20=Sheet1!B20,"",1)</f>
        <v/>
      </c>
      <c r="N20" t="str">
        <f>IF(C20=Sheet1!C20,"",1)</f>
        <v/>
      </c>
    </row>
    <row r="21" spans="1:14">
      <c r="A21" s="25"/>
      <c r="B21" s="41"/>
      <c r="C21" s="42" t="s">
        <v>22</v>
      </c>
      <c r="D21" s="41"/>
      <c r="E21" s="43">
        <v>0.17618079912309084</v>
      </c>
      <c r="F21" s="44">
        <v>0.12618079912309083</v>
      </c>
      <c r="G21" s="43">
        <v>0.18346606114903502</v>
      </c>
      <c r="H21" s="45">
        <v>0.13346606114903503</v>
      </c>
      <c r="M21" t="str">
        <f>IF(B21=Sheet1!B21,"",1)</f>
        <v/>
      </c>
      <c r="N21" t="str">
        <f>IF(C21=Sheet1!C21,"",1)</f>
        <v/>
      </c>
    </row>
    <row r="22" spans="1:14">
      <c r="A22" s="21"/>
      <c r="B22" s="46"/>
      <c r="C22" s="46" t="s">
        <v>23</v>
      </c>
      <c r="D22" s="46"/>
      <c r="E22" s="47">
        <v>112855493.471452</v>
      </c>
      <c r="F22" s="65"/>
      <c r="G22" s="47">
        <v>117522187.2604405</v>
      </c>
      <c r="H22" s="66"/>
      <c r="M22" t="str">
        <f>IF(B22=Sheet1!B22,"",1)</f>
        <v/>
      </c>
      <c r="N22" t="str">
        <f>IF(C22=Sheet1!C22,"",1)</f>
        <v/>
      </c>
    </row>
    <row r="23" spans="1:14">
      <c r="A23" s="67"/>
      <c r="B23" s="41"/>
      <c r="C23" s="42" t="s">
        <v>24</v>
      </c>
      <c r="D23" s="42"/>
      <c r="E23" s="68"/>
      <c r="F23" s="69"/>
      <c r="G23" s="68"/>
      <c r="H23" s="70"/>
      <c r="M23" t="str">
        <f>IF(B23=Sheet1!B23,"",1)</f>
        <v/>
      </c>
      <c r="N23" t="str">
        <f>IF(C23=Sheet1!C23,"",1)</f>
        <v/>
      </c>
    </row>
    <row r="24" spans="1:14">
      <c r="A24" s="71"/>
      <c r="B24" s="46"/>
      <c r="C24" s="46" t="s">
        <v>25</v>
      </c>
      <c r="D24" s="46"/>
      <c r="E24" s="72">
        <v>0.09</v>
      </c>
      <c r="F24" s="73"/>
      <c r="G24" s="72">
        <v>0.09</v>
      </c>
      <c r="H24" s="74"/>
      <c r="M24" t="str">
        <f>IF(B24=Sheet1!B24,"",1)</f>
        <v/>
      </c>
      <c r="N24" t="str">
        <f>IF(C24=Sheet1!C24,"",1)</f>
        <v/>
      </c>
    </row>
    <row r="25" spans="1:14">
      <c r="A25" s="67"/>
      <c r="B25" s="41"/>
      <c r="C25" s="41" t="s">
        <v>26</v>
      </c>
      <c r="D25" s="41"/>
      <c r="E25" s="75">
        <v>0.05</v>
      </c>
      <c r="F25" s="76"/>
      <c r="G25" s="75">
        <v>0.05</v>
      </c>
      <c r="H25" s="77"/>
      <c r="M25" t="str">
        <f>IF(B25=Sheet1!B25,"",1)</f>
        <v/>
      </c>
      <c r="N25" t="str">
        <f>IF(C25=Sheet1!C25,"",1)</f>
        <v/>
      </c>
    </row>
    <row r="26" spans="1:14">
      <c r="A26" s="78" t="s">
        <v>27</v>
      </c>
      <c r="B26" s="79" t="s">
        <v>28</v>
      </c>
      <c r="C26" s="80"/>
      <c r="D26" s="81"/>
      <c r="E26" s="82"/>
      <c r="F26" s="83"/>
      <c r="G26" s="82"/>
      <c r="H26" s="84"/>
      <c r="M26" t="str">
        <f>IF(B26=Sheet1!B26,"",1)</f>
        <v/>
      </c>
      <c r="N26" t="str">
        <f>IF(C26=Sheet1!C26,"",1)</f>
        <v/>
      </c>
    </row>
    <row r="27" spans="1:14" ht="15.75">
      <c r="A27" s="85"/>
      <c r="B27" s="86" t="s">
        <v>8</v>
      </c>
      <c r="C27" s="87" t="s">
        <v>29</v>
      </c>
      <c r="D27" s="88"/>
      <c r="E27" s="89">
        <v>71412.780485108873</v>
      </c>
      <c r="F27" s="90"/>
      <c r="G27" s="89">
        <v>70747.339008281648</v>
      </c>
      <c r="H27" s="91"/>
      <c r="M27" t="str">
        <f>IF(B27=Sheet1!B27,"",1)</f>
        <v/>
      </c>
      <c r="N27" t="str">
        <f>IF(C27=Sheet1!C27,"",1)</f>
        <v/>
      </c>
    </row>
    <row r="28" spans="1:14">
      <c r="A28" s="21"/>
      <c r="B28" s="92"/>
      <c r="C28" s="23" t="s">
        <v>30</v>
      </c>
      <c r="D28" s="32"/>
      <c r="E28" s="93">
        <v>76529.679588268977</v>
      </c>
      <c r="F28" s="94">
        <v>0.94630547439829349</v>
      </c>
      <c r="G28" s="93">
        <v>76529.679588268977</v>
      </c>
      <c r="H28" s="95">
        <v>0.94070262117788539</v>
      </c>
      <c r="M28" t="str">
        <f>IF(B28=Sheet1!B28,"",1)</f>
        <v/>
      </c>
      <c r="N28" t="str">
        <f>IF(C28=Sheet1!C28,"",1)</f>
        <v/>
      </c>
    </row>
    <row r="29" spans="1:14">
      <c r="A29" s="85"/>
      <c r="B29" s="86"/>
      <c r="C29" s="96" t="s">
        <v>31</v>
      </c>
      <c r="D29" s="88"/>
      <c r="E29" s="89">
        <v>72420.454748326272</v>
      </c>
      <c r="F29" s="264" t="s">
        <v>13</v>
      </c>
      <c r="G29" s="89">
        <v>71991.670186588337</v>
      </c>
      <c r="H29" s="265" t="s">
        <v>13</v>
      </c>
      <c r="M29" t="str">
        <f>IF(B29=Sheet1!B29,"",1)</f>
        <v/>
      </c>
      <c r="N29" t="str">
        <f>IF(C29=Sheet1!C29,"",1)</f>
        <v/>
      </c>
    </row>
    <row r="30" spans="1:14">
      <c r="A30" s="21"/>
      <c r="B30" s="22" t="s">
        <v>14</v>
      </c>
      <c r="C30" s="23" t="s">
        <v>34</v>
      </c>
      <c r="D30" s="24"/>
      <c r="E30" s="98"/>
      <c r="F30" s="99"/>
      <c r="G30" s="98"/>
      <c r="H30" s="100"/>
      <c r="M30" t="str">
        <f>IF(B30=Sheet1!B30,"",1)</f>
        <v/>
      </c>
      <c r="N30" t="str">
        <f>IF(C30=Sheet1!C30,"",1)</f>
        <v/>
      </c>
    </row>
    <row r="31" spans="1:14">
      <c r="A31" s="85"/>
      <c r="B31" s="101"/>
      <c r="C31" s="87" t="s">
        <v>35</v>
      </c>
      <c r="D31" s="102"/>
      <c r="E31" s="103">
        <v>4.002809160037548E-2</v>
      </c>
      <c r="F31" s="104">
        <v>2.809160037547942E-5</v>
      </c>
      <c r="G31" s="103">
        <v>4.002809160037548E-2</v>
      </c>
      <c r="H31" s="105">
        <v>2.809160037547942E-5</v>
      </c>
      <c r="M31" t="str">
        <f>IF(B31=Sheet1!B31,"",1)</f>
        <v/>
      </c>
      <c r="N31" t="str">
        <f>IF(C31=Sheet1!C31,"",1)</f>
        <v/>
      </c>
    </row>
    <row r="32" spans="1:14">
      <c r="A32" s="21"/>
      <c r="B32" s="46"/>
      <c r="C32" s="46" t="s">
        <v>36</v>
      </c>
      <c r="D32" s="46"/>
      <c r="E32" s="106">
        <v>507750</v>
      </c>
      <c r="F32" s="99"/>
      <c r="G32" s="106">
        <v>507750</v>
      </c>
      <c r="H32" s="100"/>
      <c r="M32" t="str">
        <f>IF(B32=Sheet1!B32,"",1)</f>
        <v/>
      </c>
      <c r="N32" t="str">
        <f>IF(C32=Sheet1!C32,"",1)</f>
        <v/>
      </c>
    </row>
    <row r="33" spans="1:14">
      <c r="A33" s="85"/>
      <c r="B33" s="102"/>
      <c r="C33" s="102" t="s">
        <v>37</v>
      </c>
      <c r="D33" s="102"/>
      <c r="E33" s="107">
        <v>12684841.5625</v>
      </c>
      <c r="F33" s="108"/>
      <c r="G33" s="107">
        <v>12684841.5625</v>
      </c>
      <c r="H33" s="109"/>
      <c r="M33" t="str">
        <f>IF(B33=Sheet1!B33,"",1)</f>
        <v/>
      </c>
      <c r="N33" t="str">
        <f>IF(C33=Sheet1!C33,"",1)</f>
        <v/>
      </c>
    </row>
    <row r="34" spans="1:14">
      <c r="A34" s="21"/>
      <c r="B34" s="46"/>
      <c r="C34" s="110" t="s">
        <v>38</v>
      </c>
      <c r="D34" s="110"/>
      <c r="E34" s="111"/>
      <c r="F34" s="112"/>
      <c r="G34" s="111"/>
      <c r="H34" s="113"/>
      <c r="M34" t="str">
        <f>IF(B34=Sheet1!B34,"",1)</f>
        <v/>
      </c>
      <c r="N34" t="str">
        <f>IF(C34=Sheet1!C34,"",1)</f>
        <v/>
      </c>
    </row>
    <row r="35" spans="1:14">
      <c r="A35" s="85"/>
      <c r="B35" s="102"/>
      <c r="C35" s="102" t="s">
        <v>39</v>
      </c>
      <c r="D35" s="87"/>
      <c r="E35" s="114">
        <v>0.04</v>
      </c>
      <c r="F35" s="115"/>
      <c r="G35" s="114">
        <v>0.04</v>
      </c>
      <c r="H35" s="116"/>
      <c r="M35" t="str">
        <f>IF(B35=Sheet1!B35,"",1)</f>
        <v/>
      </c>
      <c r="N35" t="str">
        <f>IF(C35=Sheet1!C35,"",1)</f>
        <v/>
      </c>
    </row>
    <row r="36" spans="1:14">
      <c r="A36" s="78" t="s">
        <v>40</v>
      </c>
      <c r="B36" s="117" t="s">
        <v>108</v>
      </c>
      <c r="C36" s="118"/>
      <c r="D36" s="81"/>
      <c r="E36" s="82"/>
      <c r="F36" s="83"/>
      <c r="G36" s="82"/>
      <c r="H36" s="84"/>
      <c r="M36">
        <f>IF(B36=Sheet1!B36,"",1)</f>
        <v>1</v>
      </c>
      <c r="N36" t="str">
        <f>IF(C36=Sheet1!C36,"",1)</f>
        <v/>
      </c>
    </row>
    <row r="37" spans="1:14">
      <c r="A37" s="25"/>
      <c r="B37" s="26" t="s">
        <v>8</v>
      </c>
      <c r="C37" s="27" t="s">
        <v>42</v>
      </c>
      <c r="D37" s="42"/>
      <c r="E37" s="119" t="s">
        <v>10</v>
      </c>
      <c r="F37" s="120"/>
      <c r="G37" s="119" t="s">
        <v>10</v>
      </c>
      <c r="H37" s="121"/>
      <c r="M37" t="str">
        <f>IF(B37=Sheet1!B37,"",1)</f>
        <v/>
      </c>
      <c r="N37" t="str">
        <f>IF(C37=Sheet1!C37,"",1)</f>
        <v/>
      </c>
    </row>
    <row r="38" spans="1:14">
      <c r="A38" s="21"/>
      <c r="B38" s="22" t="s">
        <v>14</v>
      </c>
      <c r="C38" s="23" t="s">
        <v>109</v>
      </c>
      <c r="D38" s="110"/>
      <c r="E38" s="106">
        <v>13800000</v>
      </c>
      <c r="F38" s="99"/>
      <c r="G38" s="106">
        <v>13800000</v>
      </c>
      <c r="H38" s="100"/>
      <c r="M38" t="str">
        <f>IF(B38=Sheet1!B38,"",1)</f>
        <v/>
      </c>
      <c r="N38">
        <f>IF(C38=Sheet1!C38,"",1)</f>
        <v>1</v>
      </c>
    </row>
    <row r="39" spans="1:14">
      <c r="A39" s="25"/>
      <c r="B39" s="26" t="s">
        <v>45</v>
      </c>
      <c r="C39" s="27" t="s">
        <v>110</v>
      </c>
      <c r="D39" s="122"/>
      <c r="E39" s="123">
        <v>14913000</v>
      </c>
      <c r="F39" s="124" t="s">
        <v>47</v>
      </c>
      <c r="G39" s="123">
        <v>15040000</v>
      </c>
      <c r="H39" s="124" t="s">
        <v>47</v>
      </c>
      <c r="M39" t="str">
        <f>IF(B39=Sheet1!B39,"",1)</f>
        <v/>
      </c>
      <c r="N39">
        <f>IF(C39=Sheet1!C39,"",1)</f>
        <v>1</v>
      </c>
    </row>
    <row r="40" spans="1:14">
      <c r="A40" s="21"/>
      <c r="B40" s="22" t="s">
        <v>48</v>
      </c>
      <c r="C40" s="23" t="s">
        <v>49</v>
      </c>
      <c r="D40" s="24"/>
      <c r="E40" s="106">
        <v>47684088.904112004</v>
      </c>
      <c r="F40" s="99"/>
      <c r="G40" s="106">
        <v>47753439.860416003</v>
      </c>
      <c r="H40" s="125"/>
      <c r="M40" t="str">
        <f>IF(B40=Sheet1!B40,"",1)</f>
        <v/>
      </c>
      <c r="N40" t="str">
        <f>IF(C40=Sheet1!C40,"",1)</f>
        <v/>
      </c>
    </row>
    <row r="41" spans="1:14">
      <c r="A41" s="25"/>
      <c r="B41" s="26" t="s">
        <v>50</v>
      </c>
      <c r="C41" s="27" t="s">
        <v>51</v>
      </c>
      <c r="D41" s="28"/>
      <c r="E41" s="126"/>
      <c r="F41" s="127"/>
      <c r="G41" s="126"/>
      <c r="H41" s="128"/>
      <c r="M41" t="str">
        <f>IF(B41=Sheet1!B41,"",1)</f>
        <v/>
      </c>
      <c r="N41" t="str">
        <f>IF(C41=Sheet1!C41,"",1)</f>
        <v/>
      </c>
    </row>
    <row r="42" spans="1:14">
      <c r="A42" s="78" t="s">
        <v>52</v>
      </c>
      <c r="B42" s="79" t="s">
        <v>111</v>
      </c>
      <c r="C42" s="80"/>
      <c r="D42" s="81"/>
      <c r="E42" s="82"/>
      <c r="F42" s="83"/>
      <c r="G42" s="82"/>
      <c r="H42" s="129"/>
      <c r="M42">
        <f>IF(B42=Sheet1!B42,"",1)</f>
        <v>1</v>
      </c>
      <c r="N42" t="str">
        <f>IF(C42=Sheet1!C42,"",1)</f>
        <v/>
      </c>
    </row>
    <row r="43" spans="1:14">
      <c r="A43" s="25"/>
      <c r="B43" s="26" t="s">
        <v>8</v>
      </c>
      <c r="C43" s="27" t="s">
        <v>42</v>
      </c>
      <c r="D43" s="27"/>
      <c r="E43" s="119" t="s">
        <v>10</v>
      </c>
      <c r="F43" s="130"/>
      <c r="G43" s="119" t="s">
        <v>10</v>
      </c>
      <c r="H43" s="131"/>
      <c r="M43" t="str">
        <f>IF(B43=Sheet1!B43,"",1)</f>
        <v/>
      </c>
      <c r="N43" t="str">
        <f>IF(C43=Sheet1!C43,"",1)</f>
        <v/>
      </c>
    </row>
    <row r="44" spans="1:14">
      <c r="A44" s="21"/>
      <c r="B44" s="22" t="s">
        <v>14</v>
      </c>
      <c r="C44" s="23" t="s">
        <v>109</v>
      </c>
      <c r="D44" s="24"/>
      <c r="E44" s="106">
        <v>1000000</v>
      </c>
      <c r="F44" s="99"/>
      <c r="G44" s="106">
        <v>1000000</v>
      </c>
      <c r="H44" s="63"/>
      <c r="M44" t="str">
        <f>IF(B44=Sheet1!B44,"",1)</f>
        <v/>
      </c>
      <c r="N44">
        <f>IF(C44=Sheet1!C44,"",1)</f>
        <v>1</v>
      </c>
    </row>
    <row r="45" spans="1:14">
      <c r="A45" s="25"/>
      <c r="B45" s="26" t="s">
        <v>45</v>
      </c>
      <c r="C45" s="27" t="s">
        <v>110</v>
      </c>
      <c r="D45" s="122"/>
      <c r="E45" s="123">
        <v>1172000</v>
      </c>
      <c r="F45" s="124" t="s">
        <v>47</v>
      </c>
      <c r="G45" s="123">
        <v>1180000</v>
      </c>
      <c r="H45" s="124" t="s">
        <v>47</v>
      </c>
      <c r="M45" t="str">
        <f>IF(B45=Sheet1!B45,"",1)</f>
        <v/>
      </c>
      <c r="N45">
        <f>IF(C45=Sheet1!C45,"",1)</f>
        <v>1</v>
      </c>
    </row>
    <row r="46" spans="1:14">
      <c r="A46" s="21"/>
      <c r="B46" s="22" t="s">
        <v>48</v>
      </c>
      <c r="C46" s="23" t="s">
        <v>49</v>
      </c>
      <c r="D46" s="24"/>
      <c r="E46" s="106">
        <v>431337.91018841282</v>
      </c>
      <c r="F46" s="132"/>
      <c r="G46" s="106">
        <v>431667.91586922965</v>
      </c>
      <c r="H46" s="63"/>
      <c r="M46" t="str">
        <f>IF(B46=Sheet1!B46,"",1)</f>
        <v/>
      </c>
      <c r="N46" t="str">
        <f>IF(C46=Sheet1!C46,"",1)</f>
        <v/>
      </c>
    </row>
    <row r="47" spans="1:14">
      <c r="A47" s="134"/>
      <c r="B47" s="26"/>
      <c r="C47" s="27"/>
      <c r="D47" s="27"/>
      <c r="E47" s="135"/>
      <c r="F47" s="136"/>
      <c r="G47" s="135"/>
      <c r="H47" s="136"/>
      <c r="M47" t="str">
        <f>IF(B47=Sheet1!B47,"",1)</f>
        <v/>
      </c>
      <c r="N47" t="str">
        <f>IF(C47=Sheet1!C47,"",1)</f>
        <v/>
      </c>
    </row>
    <row r="48" spans="1:14">
      <c r="A48" s="78" t="s">
        <v>54</v>
      </c>
      <c r="B48" s="117" t="s">
        <v>55</v>
      </c>
      <c r="C48" s="81"/>
      <c r="D48" s="81"/>
      <c r="E48" s="138"/>
      <c r="F48" s="139"/>
      <c r="G48" s="140"/>
      <c r="H48" s="139"/>
      <c r="M48" t="str">
        <f>IF(B48=Sheet1!B48,"",1)</f>
        <v/>
      </c>
      <c r="N48" t="str">
        <f>IF(C48=Sheet1!C48,"",1)</f>
        <v/>
      </c>
    </row>
    <row r="49" spans="1:14">
      <c r="A49" s="134"/>
      <c r="B49" s="42" t="s">
        <v>56</v>
      </c>
      <c r="C49" s="42" t="s">
        <v>57</v>
      </c>
      <c r="D49" s="42"/>
      <c r="E49" s="141">
        <v>751393896.27363706</v>
      </c>
      <c r="F49" s="142">
        <v>755310896.09652376</v>
      </c>
      <c r="G49" s="141">
        <v>751393896.27363706</v>
      </c>
      <c r="H49" s="142">
        <v>755310896.09652376</v>
      </c>
      <c r="M49" t="str">
        <f>IF(B49=Sheet1!B49,"",1)</f>
        <v/>
      </c>
      <c r="N49" t="str">
        <f>IF(C49=Sheet1!C49,"",1)</f>
        <v/>
      </c>
    </row>
    <row r="50" spans="1:14">
      <c r="A50" s="143"/>
      <c r="B50" s="144"/>
      <c r="C50" s="145" t="s">
        <v>58</v>
      </c>
      <c r="D50" s="144"/>
      <c r="E50" s="146">
        <v>2195982.1896898001</v>
      </c>
      <c r="F50" s="147"/>
      <c r="G50" s="146">
        <v>2195982.1896898001</v>
      </c>
      <c r="H50" s="147"/>
      <c r="M50" t="str">
        <f>IF(B50=Sheet1!B50,"",1)</f>
        <v/>
      </c>
      <c r="N50" t="str">
        <f>IF(C50=Sheet1!C50,"",1)</f>
        <v/>
      </c>
    </row>
    <row r="51" spans="1:14">
      <c r="A51" s="134"/>
      <c r="B51" s="148"/>
      <c r="C51" s="42" t="s">
        <v>59</v>
      </c>
      <c r="D51" s="131"/>
      <c r="E51" s="149">
        <v>1721017.633197</v>
      </c>
      <c r="F51" s="131"/>
      <c r="G51" s="149">
        <v>1721017.633197</v>
      </c>
      <c r="H51" s="131"/>
      <c r="M51" t="str">
        <f>IF(B51=Sheet1!B51,"",1)</f>
        <v/>
      </c>
      <c r="N51" t="str">
        <f>IF(C51=Sheet1!C51,"",1)</f>
        <v/>
      </c>
    </row>
    <row r="52" spans="1:14">
      <c r="A52" s="143"/>
      <c r="B52" s="110" t="s">
        <v>60</v>
      </c>
      <c r="C52" s="110" t="s">
        <v>61</v>
      </c>
      <c r="D52" s="150"/>
      <c r="E52" s="151">
        <v>808119997.18530297</v>
      </c>
      <c r="F52" s="152">
        <v>827121096.57464302</v>
      </c>
      <c r="G52" s="151">
        <v>808119997.18530297</v>
      </c>
      <c r="H52" s="152">
        <v>827121096.57464302</v>
      </c>
      <c r="M52" t="str">
        <f>IF(B52=Sheet1!B52,"",1)</f>
        <v/>
      </c>
      <c r="N52" t="str">
        <f>IF(C52=Sheet1!C52,"",1)</f>
        <v/>
      </c>
    </row>
    <row r="53" spans="1:14">
      <c r="A53" s="134"/>
      <c r="B53" s="153"/>
      <c r="C53" s="154" t="s">
        <v>62</v>
      </c>
      <c r="D53" s="154"/>
      <c r="E53" s="155">
        <v>9878158.7893400006</v>
      </c>
      <c r="F53" s="156"/>
      <c r="G53" s="155">
        <v>9878158.7893400006</v>
      </c>
      <c r="H53" s="156"/>
      <c r="M53" t="str">
        <f>IF(B53=Sheet1!B53,"",1)</f>
        <v/>
      </c>
      <c r="N53" t="str">
        <f>IF(C53=Sheet1!C53,"",1)</f>
        <v/>
      </c>
    </row>
    <row r="54" spans="1:14">
      <c r="A54" s="143"/>
      <c r="B54" s="157"/>
      <c r="C54" s="145" t="s">
        <v>63</v>
      </c>
      <c r="D54" s="145"/>
      <c r="E54" s="151">
        <v>9122940.5999999996</v>
      </c>
      <c r="F54" s="158"/>
      <c r="G54" s="151">
        <v>9122940.5999999996</v>
      </c>
      <c r="H54" s="158"/>
      <c r="M54" t="str">
        <f>IF(B54=Sheet1!B54,"",1)</f>
        <v/>
      </c>
      <c r="N54" t="str">
        <f>IF(C54=Sheet1!C54,"",1)</f>
        <v/>
      </c>
    </row>
    <row r="55" spans="1:14">
      <c r="A55" s="134"/>
      <c r="B55" s="42"/>
      <c r="C55" s="42" t="s">
        <v>64</v>
      </c>
      <c r="D55" s="42"/>
      <c r="E55" s="285">
        <v>0.91318054783573188</v>
      </c>
      <c r="F55" s="286"/>
      <c r="G55" s="287">
        <v>0.91318054783573188</v>
      </c>
      <c r="H55" s="288"/>
      <c r="M55" t="str">
        <f>IF(B55=Sheet1!B55,"",1)</f>
        <v/>
      </c>
      <c r="N55" t="str">
        <f>IF(C55=Sheet1!C55,"",1)</f>
        <v/>
      </c>
    </row>
    <row r="56" spans="1:14">
      <c r="A56" s="159"/>
      <c r="B56" s="160"/>
      <c r="C56" s="160" t="s">
        <v>65</v>
      </c>
      <c r="D56" s="161"/>
      <c r="E56" s="289" t="s">
        <v>66</v>
      </c>
      <c r="F56" s="290"/>
      <c r="G56" s="289" t="s">
        <v>66</v>
      </c>
      <c r="H56" s="290"/>
      <c r="M56" t="str">
        <f>IF(B56=Sheet1!B56,"",1)</f>
        <v/>
      </c>
      <c r="N56" t="str">
        <f>IF(C56=Sheet1!C56,"",1)</f>
        <v/>
      </c>
    </row>
    <row r="57" spans="1:14">
      <c r="A57" s="162"/>
      <c r="B57" s="133" t="s">
        <v>67</v>
      </c>
      <c r="C57" s="133" t="s">
        <v>68</v>
      </c>
      <c r="D57" s="133"/>
      <c r="E57" s="266">
        <v>0</v>
      </c>
      <c r="F57" s="133"/>
      <c r="G57" s="163">
        <v>0</v>
      </c>
      <c r="H57" s="63"/>
      <c r="M57" t="str">
        <f>IF(B57=Sheet1!B57,"",1)</f>
        <v/>
      </c>
      <c r="N57" t="str">
        <f>IF(C57=Sheet1!C57,"",1)</f>
        <v/>
      </c>
    </row>
    <row r="58" spans="1:14">
      <c r="A58" s="164" t="s">
        <v>69</v>
      </c>
      <c r="B58" s="165" t="s">
        <v>70</v>
      </c>
      <c r="C58" s="166"/>
      <c r="D58" s="166"/>
      <c r="E58" s="167"/>
      <c r="F58" s="168"/>
      <c r="G58" s="167"/>
      <c r="H58" s="168"/>
      <c r="M58" t="str">
        <f>IF(B58=Sheet1!B58,"",1)</f>
        <v/>
      </c>
      <c r="N58" t="str">
        <f>IF(C58=Sheet1!C58,"",1)</f>
        <v/>
      </c>
    </row>
    <row r="59" spans="1:14">
      <c r="A59" s="143"/>
      <c r="B59" s="157"/>
      <c r="C59" s="145" t="s">
        <v>112</v>
      </c>
      <c r="D59" s="145"/>
      <c r="E59" s="169">
        <v>0.05</v>
      </c>
      <c r="F59" s="170"/>
      <c r="G59" s="169">
        <v>0.05</v>
      </c>
      <c r="H59" s="170"/>
      <c r="M59" t="str">
        <f>IF(B59=Sheet1!B59,"",1)</f>
        <v/>
      </c>
      <c r="N59">
        <f>IF(C59=Sheet1!C59,"",1)</f>
        <v>1</v>
      </c>
    </row>
    <row r="60" spans="1:14">
      <c r="A60" s="164" t="s">
        <v>72</v>
      </c>
      <c r="B60" s="165" t="s">
        <v>73</v>
      </c>
      <c r="C60" s="166"/>
      <c r="D60" s="166"/>
      <c r="E60" s="274">
        <v>45768</v>
      </c>
      <c r="F60" s="275"/>
      <c r="G60" s="274">
        <v>45769</v>
      </c>
      <c r="H60" s="275"/>
      <c r="M60" t="str">
        <f>IF(B60=Sheet1!B60,"",1)</f>
        <v/>
      </c>
      <c r="N60" t="str">
        <f>IF(C60=Sheet1!C60,"",1)</f>
        <v/>
      </c>
    </row>
    <row r="61" spans="1:14">
      <c r="A61" s="134"/>
      <c r="B61" s="153"/>
      <c r="C61" s="154" t="s">
        <v>74</v>
      </c>
      <c r="D61" s="154"/>
      <c r="E61" s="171">
        <v>0.92975497376533123</v>
      </c>
      <c r="F61" s="172"/>
      <c r="G61" s="171">
        <v>0.93205014325030333</v>
      </c>
      <c r="H61" s="173"/>
      <c r="M61" t="str">
        <f>IF(B61=Sheet1!B61,"",1)</f>
        <v/>
      </c>
      <c r="N61" t="str">
        <f>IF(C61=Sheet1!C61,"",1)</f>
        <v/>
      </c>
    </row>
    <row r="62" spans="1:14">
      <c r="A62" s="143"/>
      <c r="B62" s="157"/>
      <c r="C62" s="145" t="s">
        <v>75</v>
      </c>
      <c r="D62" s="145"/>
      <c r="E62" s="174">
        <v>0.92833271721572541</v>
      </c>
      <c r="F62" s="175"/>
      <c r="G62" s="174">
        <v>0.9362712226780523</v>
      </c>
      <c r="H62" s="175"/>
      <c r="M62" t="str">
        <f>IF(B62=Sheet1!B62,"",1)</f>
        <v/>
      </c>
      <c r="N62" t="str">
        <f>IF(C62=Sheet1!C62,"",1)</f>
        <v/>
      </c>
    </row>
    <row r="63" spans="1:14">
      <c r="A63" s="134"/>
      <c r="B63" s="42"/>
      <c r="C63" s="42" t="s">
        <v>76</v>
      </c>
      <c r="D63" s="176"/>
      <c r="E63" s="171">
        <v>0.92943763789022493</v>
      </c>
      <c r="F63" s="177"/>
      <c r="G63" s="171">
        <v>0.93298878415562103</v>
      </c>
      <c r="H63" s="177"/>
      <c r="M63" t="str">
        <f>IF(B63=Sheet1!B63,"",1)</f>
        <v/>
      </c>
      <c r="N63" t="str">
        <f>IF(C63=Sheet1!C63,"",1)</f>
        <v/>
      </c>
    </row>
    <row r="64" spans="1:14">
      <c r="A64" s="164" t="s">
        <v>77</v>
      </c>
      <c r="B64" s="165" t="s">
        <v>78</v>
      </c>
      <c r="C64" s="166"/>
      <c r="D64" s="166"/>
      <c r="E64" s="82"/>
      <c r="F64" s="84"/>
      <c r="G64" s="82"/>
      <c r="H64" s="84"/>
      <c r="M64" t="str">
        <f>IF(B64=Sheet1!B64,"",1)</f>
        <v/>
      </c>
      <c r="N64" t="str">
        <f>IF(C64=Sheet1!C64,"",1)</f>
        <v/>
      </c>
    </row>
    <row r="65" spans="1:14">
      <c r="A65" s="134"/>
      <c r="B65" s="153"/>
      <c r="C65" s="154" t="s">
        <v>79</v>
      </c>
      <c r="D65" s="154"/>
      <c r="E65" s="171">
        <v>0.65983546942198679</v>
      </c>
      <c r="F65" s="178" t="s">
        <v>80</v>
      </c>
      <c r="G65" s="171">
        <v>0.65621896929209234</v>
      </c>
      <c r="H65" s="179" t="s">
        <v>80</v>
      </c>
      <c r="M65" t="str">
        <f>IF(B65=Sheet1!B65,"",1)</f>
        <v/>
      </c>
      <c r="N65" t="str">
        <f>IF(C65=Sheet1!C65,"",1)</f>
        <v/>
      </c>
    </row>
    <row r="66" spans="1:14">
      <c r="A66" s="180"/>
      <c r="B66" s="181"/>
      <c r="C66" s="182" t="s">
        <v>81</v>
      </c>
      <c r="D66" s="182"/>
      <c r="E66" s="183">
        <v>0.1604058679513439</v>
      </c>
      <c r="F66" s="184" t="s">
        <v>80</v>
      </c>
      <c r="G66" s="183">
        <v>0.15955854640490508</v>
      </c>
      <c r="H66" s="184" t="s">
        <v>80</v>
      </c>
      <c r="M66" t="str">
        <f>IF(B66=Sheet1!B66,"",1)</f>
        <v/>
      </c>
      <c r="N66" t="str">
        <f>IF(C66=Sheet1!C66,"",1)</f>
        <v/>
      </c>
    </row>
    <row r="67" spans="1:14">
      <c r="B67"/>
      <c r="G67" s="185"/>
      <c r="H67" s="186"/>
    </row>
    <row r="68" spans="1:14">
      <c r="A68" s="187" t="s">
        <v>82</v>
      </c>
      <c r="B68" s="187"/>
      <c r="C68" s="187" t="s">
        <v>113</v>
      </c>
      <c r="D68" s="187"/>
      <c r="E68" s="187"/>
      <c r="F68" s="187"/>
      <c r="G68" s="188"/>
      <c r="H68" s="186"/>
    </row>
    <row r="69" spans="1:14">
      <c r="A69" s="189"/>
      <c r="B69" s="189"/>
      <c r="C69" s="189" t="s">
        <v>84</v>
      </c>
      <c r="D69" s="189"/>
      <c r="E69" s="189"/>
      <c r="F69" s="189"/>
      <c r="G69" s="188"/>
      <c r="H69" s="186"/>
    </row>
    <row r="70" spans="1:14">
      <c r="A70" s="189"/>
      <c r="B70"/>
      <c r="C70" s="189" t="s">
        <v>114</v>
      </c>
      <c r="D70" s="189"/>
      <c r="E70" s="189"/>
      <c r="F70" s="189"/>
      <c r="G70" s="188"/>
      <c r="H70" s="186"/>
    </row>
    <row r="71" spans="1:14">
      <c r="A71" s="190" t="s">
        <v>86</v>
      </c>
      <c r="B71" s="190"/>
      <c r="C71" s="190" t="s">
        <v>115</v>
      </c>
      <c r="D71" s="190"/>
      <c r="E71" s="190"/>
      <c r="F71" s="190"/>
      <c r="G71" s="191"/>
      <c r="H71" s="186"/>
    </row>
    <row r="72" spans="1:14">
      <c r="A72" s="192" t="s">
        <v>116</v>
      </c>
      <c r="B72" s="192"/>
      <c r="C72" s="192"/>
      <c r="D72" s="192"/>
      <c r="E72" s="192"/>
      <c r="F72" s="192"/>
      <c r="G72" s="193"/>
      <c r="H72" s="186"/>
    </row>
    <row r="73" spans="1:14">
      <c r="A73" s="185" t="s">
        <v>117</v>
      </c>
      <c r="B73" s="185"/>
      <c r="C73" s="185"/>
      <c r="D73" s="185"/>
      <c r="E73" s="185"/>
      <c r="F73" s="185"/>
      <c r="G73" s="194"/>
      <c r="H73" s="186"/>
    </row>
    <row r="74" spans="1:14">
      <c r="A74" s="195"/>
      <c r="B74" s="195"/>
      <c r="C74" s="195"/>
      <c r="D74" s="195"/>
      <c r="E74" s="195"/>
      <c r="F74" s="195"/>
      <c r="G74" s="195"/>
      <c r="H74" s="186"/>
    </row>
    <row r="75" spans="1:14" ht="15" customHeight="1">
      <c r="A75" s="276" t="s">
        <v>118</v>
      </c>
      <c r="B75" s="277"/>
      <c r="C75" s="277"/>
      <c r="D75" s="277"/>
      <c r="E75" s="277"/>
      <c r="F75" s="277"/>
      <c r="G75" s="277"/>
      <c r="H75" s="278"/>
    </row>
    <row r="76" spans="1:14" ht="15" customHeight="1">
      <c r="A76" s="279"/>
      <c r="B76" s="280"/>
      <c r="C76" s="280"/>
      <c r="D76" s="280"/>
      <c r="E76" s="280"/>
      <c r="F76" s="280"/>
      <c r="G76" s="280"/>
      <c r="H76" s="281"/>
    </row>
    <row r="77" spans="1:14" ht="15" customHeight="1">
      <c r="A77" s="279"/>
      <c r="B77" s="280"/>
      <c r="C77" s="280"/>
      <c r="D77" s="280"/>
      <c r="E77" s="280"/>
      <c r="F77" s="280"/>
      <c r="G77" s="280"/>
      <c r="H77" s="281"/>
    </row>
    <row r="78" spans="1:14" ht="15" customHeight="1">
      <c r="A78" s="279"/>
      <c r="B78" s="280"/>
      <c r="C78" s="280"/>
      <c r="D78" s="280"/>
      <c r="E78" s="280"/>
      <c r="F78" s="280"/>
      <c r="G78" s="280"/>
      <c r="H78" s="281"/>
    </row>
    <row r="79" spans="1:14" ht="15" customHeight="1">
      <c r="A79" s="282"/>
      <c r="B79" s="283"/>
      <c r="C79" s="283"/>
      <c r="D79" s="283"/>
      <c r="E79" s="283"/>
      <c r="F79" s="283"/>
      <c r="G79" s="283"/>
      <c r="H79" s="284"/>
    </row>
    <row r="80" spans="1:14">
      <c r="A80" s="196"/>
      <c r="B80" s="196"/>
      <c r="C80" s="196"/>
      <c r="D80" s="196"/>
      <c r="E80" s="126" t="s">
        <v>92</v>
      </c>
      <c r="F80" s="196"/>
      <c r="G80" s="196"/>
      <c r="H80" s="196"/>
    </row>
    <row r="81" spans="1:8">
      <c r="A81" s="196"/>
      <c r="B81" s="196"/>
      <c r="C81" s="196"/>
      <c r="D81" s="196"/>
      <c r="E81" s="196"/>
      <c r="F81" s="196"/>
      <c r="G81" s="196"/>
      <c r="H81" s="196"/>
    </row>
    <row r="82" spans="1:8">
      <c r="A82" s="196"/>
      <c r="B82" s="196"/>
      <c r="C82" s="196"/>
      <c r="D82" s="196"/>
      <c r="E82" s="124" t="s">
        <v>93</v>
      </c>
      <c r="F82" s="124" t="s">
        <v>94</v>
      </c>
      <c r="G82" s="124" t="s">
        <v>94</v>
      </c>
      <c r="H82" s="196"/>
    </row>
    <row r="83" spans="1:8">
      <c r="A83" s="192"/>
      <c r="B83" s="192"/>
      <c r="C83" s="192"/>
      <c r="D83" s="192"/>
      <c r="E83" s="197" t="s">
        <v>95</v>
      </c>
      <c r="F83" s="197" t="e">
        <v>#VALUE!</v>
      </c>
      <c r="G83" s="192"/>
      <c r="H83" s="192"/>
    </row>
    <row r="84" spans="1:8">
      <c r="A84" s="192"/>
      <c r="B84" s="192"/>
      <c r="C84" s="192"/>
      <c r="D84" s="192"/>
      <c r="E84" s="197" t="s">
        <v>13</v>
      </c>
      <c r="F84" s="192"/>
      <c r="G84" s="192"/>
      <c r="H84" s="192"/>
    </row>
    <row r="85" spans="1:8">
      <c r="A85" s="192"/>
      <c r="B85" s="192"/>
      <c r="C85" s="192"/>
      <c r="D85" s="192"/>
      <c r="E85" s="192"/>
      <c r="F85" s="192"/>
      <c r="G85" s="192"/>
      <c r="H85" s="192"/>
    </row>
    <row r="86" spans="1:8">
      <c r="A86" s="192"/>
      <c r="B86" s="192"/>
      <c r="C86" s="192"/>
      <c r="D86" s="192"/>
      <c r="E86" s="192"/>
      <c r="F86" s="192"/>
      <c r="G86" s="192"/>
      <c r="H86" s="192"/>
    </row>
    <row r="87" spans="1:8">
      <c r="A87" s="193"/>
      <c r="B87" s="193"/>
      <c r="C87" s="193"/>
      <c r="D87" s="193"/>
      <c r="E87" s="193"/>
      <c r="F87" s="193"/>
      <c r="G87" s="193"/>
      <c r="H87" s="193"/>
    </row>
    <row r="88" spans="1:8">
      <c r="A88" s="193"/>
      <c r="B88" s="193"/>
      <c r="C88" s="193"/>
      <c r="D88" s="193"/>
      <c r="E88" s="191">
        <v>-665.44147682722542</v>
      </c>
      <c r="F88" s="193"/>
      <c r="G88" s="193" t="s">
        <v>96</v>
      </c>
      <c r="H88" s="198"/>
    </row>
    <row r="89" spans="1:8">
      <c r="E89" s="199">
        <v>127000</v>
      </c>
      <c r="H89" s="198"/>
    </row>
    <row r="90" spans="1:8">
      <c r="D90" s="200"/>
      <c r="E90" s="199">
        <v>8000</v>
      </c>
      <c r="H90" s="201"/>
    </row>
    <row r="91" spans="1:8">
      <c r="G91" t="s">
        <v>97</v>
      </c>
      <c r="H91" s="198"/>
    </row>
    <row r="92" spans="1:8">
      <c r="G92" t="s">
        <v>99</v>
      </c>
      <c r="H92" s="198"/>
    </row>
    <row r="93" spans="1:8">
      <c r="G93" t="s">
        <v>100</v>
      </c>
      <c r="H93" s="198"/>
    </row>
    <row r="94" spans="1:8">
      <c r="A94" s="202" t="s">
        <v>101</v>
      </c>
      <c r="F94" s="202">
        <v>45770</v>
      </c>
      <c r="G94" t="s">
        <v>102</v>
      </c>
      <c r="H94" s="198"/>
    </row>
    <row r="95" spans="1:8">
      <c r="F95" s="202"/>
      <c r="H95" s="201"/>
    </row>
    <row r="96" spans="1:8">
      <c r="E96" s="204">
        <v>45770.733516666667</v>
      </c>
    </row>
    <row r="97" spans="4:8">
      <c r="E97" s="202">
        <v>45771.733516666667</v>
      </c>
      <c r="F97" s="202"/>
    </row>
    <row r="98" spans="4:8">
      <c r="E98" s="206" t="s">
        <v>119</v>
      </c>
    </row>
    <row r="100" spans="4:8">
      <c r="H100" s="198"/>
    </row>
    <row r="101" spans="4:8">
      <c r="H101" s="198"/>
    </row>
    <row r="102" spans="4:8">
      <c r="H102" s="201"/>
    </row>
    <row r="103" spans="4:8">
      <c r="H103" s="198"/>
    </row>
    <row r="104" spans="4:8">
      <c r="H104" s="198"/>
    </row>
    <row r="105" spans="4:8">
      <c r="G105" s="207" t="s">
        <v>93</v>
      </c>
      <c r="H105" s="198"/>
    </row>
    <row r="106" spans="4:8">
      <c r="D106" s="208" t="s">
        <v>104</v>
      </c>
      <c r="E106" s="208" t="s">
        <v>105</v>
      </c>
      <c r="F106" s="208"/>
      <c r="H106" s="201"/>
    </row>
    <row r="107" spans="4:8">
      <c r="D107" s="209">
        <v>0</v>
      </c>
      <c r="E107" s="210">
        <v>2411192170366.5649</v>
      </c>
      <c r="F107" s="211">
        <v>2411192170366.5649</v>
      </c>
    </row>
    <row r="108" spans="4:8">
      <c r="D108" s="208" t="s">
        <v>61</v>
      </c>
      <c r="E108" s="208" t="s">
        <v>106</v>
      </c>
      <c r="F108" s="208"/>
    </row>
    <row r="109" spans="4:8">
      <c r="D109" s="209">
        <v>0</v>
      </c>
      <c r="E109" s="210">
        <v>1996050000000</v>
      </c>
      <c r="F109" s="210">
        <v>1996050000000</v>
      </c>
    </row>
    <row r="110" spans="4:8">
      <c r="D110" s="208"/>
      <c r="E110" s="208"/>
      <c r="F110" s="208"/>
    </row>
    <row r="111" spans="4:8">
      <c r="D111" s="208"/>
      <c r="E111" s="208"/>
      <c r="F111" s="212">
        <v>1.2079818493357206</v>
      </c>
    </row>
    <row r="124" spans="7:8">
      <c r="G124" s="213"/>
    </row>
    <row r="125" spans="7:8">
      <c r="H125" s="214"/>
    </row>
    <row r="126" spans="7:8">
      <c r="G126" s="215"/>
      <c r="H126" s="216"/>
    </row>
    <row r="127" spans="7:8">
      <c r="H127" s="217"/>
    </row>
    <row r="128" spans="7:8">
      <c r="G128" s="218"/>
      <c r="H128" s="219"/>
    </row>
    <row r="129" spans="4:8">
      <c r="G129" s="220"/>
      <c r="H129" s="217"/>
    </row>
    <row r="130" spans="4:8">
      <c r="D130" s="221"/>
      <c r="E130" s="221"/>
      <c r="F130" s="222"/>
      <c r="G130" s="223"/>
      <c r="H130" s="224"/>
    </row>
    <row r="131" spans="4:8">
      <c r="D131" s="225"/>
      <c r="E131" s="226"/>
      <c r="F131" s="227"/>
      <c r="H131" s="228"/>
    </row>
    <row r="132" spans="4:8">
      <c r="D132" s="229"/>
      <c r="E132" s="230"/>
      <c r="F132" s="231"/>
      <c r="H132" s="232"/>
    </row>
    <row r="133" spans="4:8">
      <c r="E133" s="233"/>
      <c r="F133" s="234"/>
      <c r="G133" s="235"/>
      <c r="H133" s="232"/>
    </row>
    <row r="134" spans="4:8">
      <c r="E134" s="233"/>
      <c r="F134" s="236"/>
      <c r="G134" s="215"/>
      <c r="H134" s="235"/>
    </row>
    <row r="135" spans="4:8">
      <c r="D135" s="237"/>
      <c r="E135" s="238"/>
      <c r="F135" s="224"/>
      <c r="H135" s="239"/>
    </row>
    <row r="136" spans="4:8">
      <c r="D136" s="237"/>
      <c r="E136" s="238"/>
      <c r="F136" s="228"/>
      <c r="G136" s="240"/>
      <c r="H136" s="241"/>
    </row>
    <row r="137" spans="4:8">
      <c r="D137" s="242"/>
      <c r="E137" s="226"/>
      <c r="F137" s="243"/>
      <c r="H137" s="244"/>
    </row>
    <row r="138" spans="4:8">
      <c r="D138" s="242"/>
      <c r="E138" s="226"/>
      <c r="F138" s="243"/>
      <c r="H138" s="245"/>
    </row>
    <row r="139" spans="4:8">
      <c r="E139" s="233"/>
      <c r="F139" s="235"/>
      <c r="G139" s="246"/>
      <c r="H139" s="247"/>
    </row>
    <row r="140" spans="4:8">
      <c r="D140" s="221"/>
      <c r="E140" s="79"/>
      <c r="F140" s="214"/>
      <c r="H140" s="241"/>
    </row>
    <row r="141" spans="4:8">
      <c r="D141" s="237"/>
      <c r="E141" s="238"/>
      <c r="F141" s="241"/>
      <c r="G141" s="248"/>
    </row>
    <row r="142" spans="4:8">
      <c r="D142" s="242"/>
      <c r="E142" s="226"/>
      <c r="F142" s="249"/>
      <c r="G142" s="250"/>
      <c r="H142" s="248"/>
    </row>
    <row r="143" spans="4:8">
      <c r="D143" s="237"/>
      <c r="E143" s="238"/>
      <c r="F143" s="245"/>
      <c r="G143" s="251"/>
      <c r="H143" s="223"/>
    </row>
    <row r="144" spans="4:8">
      <c r="D144" s="242"/>
      <c r="E144" s="226"/>
      <c r="F144" s="252"/>
      <c r="G144" s="250"/>
      <c r="H144" s="223"/>
    </row>
    <row r="145" spans="4:8">
      <c r="D145" s="237"/>
      <c r="E145" s="238"/>
      <c r="F145" s="253"/>
      <c r="G145" s="250"/>
      <c r="H145" s="223"/>
    </row>
    <row r="146" spans="4:8">
      <c r="H146" s="223"/>
    </row>
    <row r="147" spans="4:8">
      <c r="D147" s="221"/>
      <c r="E147" s="221"/>
      <c r="F147" s="221"/>
      <c r="G147" s="248"/>
    </row>
    <row r="148" spans="4:8">
      <c r="D148" s="237"/>
      <c r="E148" s="238"/>
      <c r="F148" s="199"/>
      <c r="G148" s="250"/>
      <c r="H148" s="248"/>
    </row>
    <row r="149" spans="4:8">
      <c r="D149" s="242"/>
      <c r="E149" s="226"/>
      <c r="F149" s="254"/>
      <c r="G149" s="251"/>
      <c r="H149" s="255"/>
    </row>
    <row r="150" spans="4:8">
      <c r="D150" s="237"/>
      <c r="E150" s="238"/>
      <c r="F150" s="199"/>
      <c r="G150" s="250"/>
      <c r="H150" s="255"/>
    </row>
    <row r="151" spans="4:8">
      <c r="D151" s="237"/>
      <c r="E151" s="238"/>
      <c r="F151" s="199"/>
      <c r="G151" s="250"/>
      <c r="H151" s="255"/>
    </row>
    <row r="152" spans="4:8">
      <c r="H152" s="255"/>
    </row>
    <row r="153" spans="4:8">
      <c r="D153" s="221"/>
      <c r="E153" s="221"/>
      <c r="F153" s="221"/>
    </row>
    <row r="154" spans="4:8">
      <c r="D154" s="237"/>
      <c r="E154" s="238"/>
      <c r="F154" s="199"/>
    </row>
    <row r="155" spans="4:8">
      <c r="D155" s="242"/>
      <c r="E155" s="226"/>
      <c r="F155" s="254"/>
    </row>
    <row r="156" spans="4:8">
      <c r="D156" s="237"/>
      <c r="E156" s="238"/>
      <c r="F156" s="199"/>
    </row>
    <row r="157" spans="4:8">
      <c r="F157" s="199"/>
    </row>
  </sheetData>
  <mergeCells count="13">
    <mergeCell ref="A6:H6"/>
    <mergeCell ref="A7:H7"/>
    <mergeCell ref="E8:F8"/>
    <mergeCell ref="G8:H8"/>
    <mergeCell ref="E10:F10"/>
    <mergeCell ref="G10:H10"/>
    <mergeCell ref="A75:H79"/>
    <mergeCell ref="E55:F55"/>
    <mergeCell ref="G55:H55"/>
    <mergeCell ref="E56:F56"/>
    <mergeCell ref="G56:H56"/>
    <mergeCell ref="E60:F60"/>
    <mergeCell ref="G60:H60"/>
  </mergeCells>
  <conditionalFormatting sqref="F13 H13 F29 H29 F39 H39 F45 H45">
    <cfRule type="containsText" dxfId="38" priority="22" operator="containsText" text="RED">
      <formula>NOT(ISERROR(SEARCH("RED",F13)))</formula>
    </cfRule>
    <cfRule type="containsText" dxfId="37" priority="23" operator="containsText" text="DARK YELLOW">
      <formula>NOT(ISERROR(SEARCH("DARK YELLOW",F13)))</formula>
    </cfRule>
    <cfRule type="containsText" dxfId="36" priority="24" operator="containsText" text="LIGHT YELLOW">
      <formula>NOT(ISERROR(SEARCH("LIGHT YELLOW",F13)))</formula>
    </cfRule>
    <cfRule type="containsText" dxfId="35" priority="25" operator="containsText" text="LIGHT GREEN">
      <formula>NOT(ISERROR(SEARCH("LIGHT GREEN",F13)))</formula>
    </cfRule>
    <cfRule type="containsText" dxfId="34" priority="26" operator="containsText" text="DARK GREEN">
      <formula>NOT(ISERROR(SEARCH("DARK GREEN",F13)))</formula>
    </cfRule>
  </conditionalFormatting>
  <conditionalFormatting sqref="F39 H39 F45 H45">
    <cfRule type="containsText" dxfId="33" priority="21" operator="containsText" text="Red">
      <formula>NOT(ISERROR(SEARCH("Red",F39)))</formula>
    </cfRule>
  </conditionalFormatting>
  <conditionalFormatting sqref="F39 H39 F45 H45">
    <cfRule type="containsText" dxfId="32" priority="17" operator="containsText" text="Dark Yellow">
      <formula>NOT(ISERROR(SEARCH("Dark Yellow",F39)))</formula>
    </cfRule>
    <cfRule type="containsText" dxfId="31" priority="18" operator="containsText" text="Light Yellow">
      <formula>NOT(ISERROR(SEARCH("Light Yellow",F39)))</formula>
    </cfRule>
    <cfRule type="containsText" dxfId="30" priority="19" operator="containsText" text="Light Green">
      <formula>NOT(ISERROR(SEARCH("Light Green",F39)))</formula>
    </cfRule>
    <cfRule type="containsText" dxfId="29" priority="20" operator="containsText" text="Dark Green">
      <formula>NOT(ISERROR(SEARCH("Dark Green",F39)))</formula>
    </cfRule>
  </conditionalFormatting>
  <conditionalFormatting sqref="G129:G130 H130:H131 F135:F136">
    <cfRule type="containsText" dxfId="28" priority="14" operator="containsText" text="Red">
      <formula>NOT(ISERROR(SEARCH("Red",F129)))</formula>
    </cfRule>
    <cfRule type="containsText" dxfId="27" priority="15" operator="containsText" text="Green">
      <formula>NOT(ISERROR(SEARCH("Green",F129)))</formula>
    </cfRule>
    <cfRule type="containsText" dxfId="26" priority="16" operator="containsText" text="Yellow">
      <formula>NOT(ISERROR(SEARCH("Yellow",F129)))</formula>
    </cfRule>
  </conditionalFormatting>
  <conditionalFormatting sqref="F39 H39 F45 H45">
    <cfRule type="containsText" dxfId="25" priority="13" operator="containsText" text="Red">
      <formula>NOT(ISERROR(SEARCH("Red",F39)))</formula>
    </cfRule>
  </conditionalFormatting>
  <conditionalFormatting sqref="F39 H39 F45 H45">
    <cfRule type="containsText" dxfId="24" priority="9" operator="containsText" text="Dark Yellow">
      <formula>NOT(ISERROR(SEARCH("Dark Yellow",F39)))</formula>
    </cfRule>
    <cfRule type="containsText" dxfId="23" priority="10" operator="containsText" text="Light Yellow">
      <formula>NOT(ISERROR(SEARCH("Light Yellow",F39)))</formula>
    </cfRule>
    <cfRule type="containsText" dxfId="22" priority="11" operator="containsText" text="Light Green">
      <formula>NOT(ISERROR(SEARCH("Light Green",F39)))</formula>
    </cfRule>
    <cfRule type="containsText" dxfId="21" priority="12" operator="containsText" text="Dark Green">
      <formula>NOT(ISERROR(SEARCH("Dark Green",F39)))</formula>
    </cfRule>
  </conditionalFormatting>
  <conditionalFormatting sqref="F13 H13 F29 H29 F39 H39 F45 H45">
    <cfRule type="containsText" dxfId="20" priority="4" operator="containsText" text="RED">
      <formula>NOT(ISERROR(SEARCH("RED",F13)))</formula>
    </cfRule>
    <cfRule type="containsText" dxfId="19" priority="5" operator="containsText" text="DARK YELLOW">
      <formula>NOT(ISERROR(SEARCH("DARK YELLOW",F13)))</formula>
    </cfRule>
    <cfRule type="containsText" dxfId="18" priority="6" operator="containsText" text="LIGHT YELLOW">
      <formula>NOT(ISERROR(SEARCH("LIGHT YELLOW",F13)))</formula>
    </cfRule>
    <cfRule type="containsText" dxfId="17" priority="7" operator="containsText" text="LIGHT GREEN">
      <formula>NOT(ISERROR(SEARCH("LIGHT GREEN",F13)))</formula>
    </cfRule>
    <cfRule type="containsText" dxfId="16" priority="8" operator="containsText" text="DARK GREEN">
      <formula>NOT(ISERROR(SEARCH("DARK GREEN",F13)))</formula>
    </cfRule>
  </conditionalFormatting>
  <conditionalFormatting sqref="G129:G130 H130:H131 F135:F136">
    <cfRule type="containsText" dxfId="15" priority="1" operator="containsText" text="Red">
      <formula>NOT(ISERROR(SEARCH("Red",F129)))</formula>
    </cfRule>
    <cfRule type="containsText" dxfId="14" priority="2" operator="containsText" text="Green">
      <formula>NOT(ISERROR(SEARCH("Green",F129)))</formula>
    </cfRule>
    <cfRule type="containsText" dxfId="13" priority="3" operator="containsText" text="Yellow">
      <formula>NOT(ISERROR(SEARCH("Yellow",F129)))</formula>
    </cfRule>
  </conditionalFormatting>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49"/>
  <sheetViews>
    <sheetView tabSelected="1" workbookViewId="0">
      <selection activeCell="I37" sqref="I37"/>
    </sheetView>
  </sheetViews>
  <sheetFormatPr defaultRowHeight="15"/>
  <cols>
    <col min="1" max="1" width="4.85546875" customWidth="1"/>
    <col min="2" max="2" width="2.5703125" style="5" customWidth="1"/>
    <col min="3" max="3" width="20.5703125" customWidth="1"/>
    <col min="4" max="4" width="59" customWidth="1"/>
    <col min="5" max="5" width="25.42578125" customWidth="1"/>
    <col min="6" max="6" width="40.85546875" customWidth="1"/>
  </cols>
  <sheetData>
    <row r="1" spans="1:6">
      <c r="A1" s="10" t="s">
        <v>4</v>
      </c>
      <c r="B1" s="11"/>
      <c r="C1" s="12" t="s">
        <v>5</v>
      </c>
      <c r="D1" s="13"/>
      <c r="E1" s="268">
        <v>46227</v>
      </c>
      <c r="F1" s="269"/>
    </row>
    <row r="2" spans="1:6">
      <c r="A2" s="14" t="s">
        <v>6</v>
      </c>
      <c r="B2" s="15" t="s">
        <v>7</v>
      </c>
      <c r="C2" s="16"/>
      <c r="D2" s="17"/>
      <c r="E2" s="18"/>
      <c r="F2" s="20"/>
    </row>
    <row r="3" spans="1:6">
      <c r="A3" s="21"/>
      <c r="B3" s="22" t="s">
        <v>8</v>
      </c>
      <c r="C3" s="23" t="s">
        <v>9</v>
      </c>
      <c r="D3" s="24"/>
      <c r="E3" s="38" t="s">
        <v>10</v>
      </c>
      <c r="F3" s="270"/>
    </row>
    <row r="4" spans="1:6">
      <c r="A4" s="25"/>
      <c r="B4" s="26"/>
      <c r="C4" s="27" t="s">
        <v>11</v>
      </c>
      <c r="D4" s="28"/>
      <c r="E4" s="29">
        <v>8303691.0000000009</v>
      </c>
      <c r="F4" s="31"/>
    </row>
    <row r="5" spans="1:6">
      <c r="A5" s="21"/>
      <c r="B5" s="22"/>
      <c r="C5" s="23" t="s">
        <v>9</v>
      </c>
      <c r="D5" s="32"/>
      <c r="E5" s="33">
        <v>9026825.2462489884</v>
      </c>
      <c r="F5" s="35">
        <v>1.0397586899102327</v>
      </c>
    </row>
    <row r="6" spans="1:6">
      <c r="A6" s="25"/>
      <c r="B6" s="26"/>
      <c r="C6" s="27" t="s">
        <v>12</v>
      </c>
      <c r="D6" s="28"/>
      <c r="E6" s="29">
        <v>8633834.8755793888</v>
      </c>
      <c r="F6" s="37" t="s">
        <v>13</v>
      </c>
    </row>
    <row r="7" spans="1:6">
      <c r="A7" s="21"/>
      <c r="B7" s="22" t="s">
        <v>14</v>
      </c>
      <c r="C7" s="23" t="s">
        <v>15</v>
      </c>
      <c r="D7" s="24"/>
      <c r="E7" s="38"/>
      <c r="F7" s="40"/>
    </row>
    <row r="8" spans="1:6">
      <c r="A8" s="25"/>
      <c r="B8" s="41"/>
      <c r="C8" s="42" t="s">
        <v>16</v>
      </c>
      <c r="D8" s="41"/>
      <c r="E8" s="43">
        <v>6.3600000000000004E-2</v>
      </c>
      <c r="F8" s="45">
        <v>6.3600000000000004E-2</v>
      </c>
    </row>
    <row r="9" spans="1:6">
      <c r="A9" s="21"/>
      <c r="B9" s="46"/>
      <c r="C9" s="46" t="s">
        <v>17</v>
      </c>
      <c r="D9" s="46"/>
      <c r="E9" s="47">
        <v>54167675</v>
      </c>
      <c r="F9" s="49"/>
    </row>
    <row r="10" spans="1:6">
      <c r="A10" s="25"/>
      <c r="B10" s="41"/>
      <c r="C10" s="41" t="s">
        <v>18</v>
      </c>
      <c r="D10" s="41"/>
      <c r="E10" s="50">
        <v>851255168.73333335</v>
      </c>
      <c r="F10" s="52"/>
    </row>
    <row r="11" spans="1:6">
      <c r="A11" s="53"/>
      <c r="B11" s="54"/>
      <c r="C11" s="55" t="s">
        <v>19</v>
      </c>
      <c r="D11" s="54"/>
      <c r="E11" s="56">
        <v>5.2614285714285711E-2</v>
      </c>
      <c r="F11" s="58">
        <v>1.6614285714285713E-2</v>
      </c>
    </row>
    <row r="12" spans="1:6">
      <c r="A12" s="25"/>
      <c r="B12" s="41"/>
      <c r="C12" s="42" t="s">
        <v>20</v>
      </c>
      <c r="D12" s="41"/>
      <c r="E12" s="43">
        <v>3.5999999999999997E-2</v>
      </c>
      <c r="F12" s="60"/>
    </row>
    <row r="13" spans="1:6">
      <c r="A13" s="21"/>
      <c r="B13" s="46"/>
      <c r="C13" s="46" t="s">
        <v>21</v>
      </c>
      <c r="D13" s="46"/>
      <c r="E13" s="61">
        <v>23494642.657040007</v>
      </c>
      <c r="F13" s="63"/>
    </row>
    <row r="14" spans="1:6">
      <c r="A14" s="25"/>
      <c r="B14" s="41"/>
      <c r="C14" s="42" t="s">
        <v>22</v>
      </c>
      <c r="D14" s="41"/>
      <c r="E14" s="43">
        <v>0.18704389449027886</v>
      </c>
      <c r="F14" s="45">
        <v>0.14704389449027885</v>
      </c>
    </row>
    <row r="15" spans="1:6">
      <c r="A15" s="21"/>
      <c r="B15" s="46"/>
      <c r="C15" s="46" t="s">
        <v>23</v>
      </c>
      <c r="D15" s="46"/>
      <c r="E15" s="47">
        <v>159222081.96486214</v>
      </c>
      <c r="F15" s="66"/>
    </row>
    <row r="16" spans="1:6">
      <c r="A16" s="67"/>
      <c r="B16" s="41"/>
      <c r="C16" s="42" t="s">
        <v>24</v>
      </c>
      <c r="D16" s="42"/>
      <c r="E16" s="68"/>
      <c r="F16" s="70"/>
    </row>
    <row r="17" spans="1:6">
      <c r="A17" s="71"/>
      <c r="B17" s="46"/>
      <c r="C17" s="46" t="s">
        <v>25</v>
      </c>
      <c r="D17" s="46"/>
      <c r="E17" s="72">
        <v>0.09</v>
      </c>
      <c r="F17" s="74"/>
    </row>
    <row r="18" spans="1:6">
      <c r="A18" s="67"/>
      <c r="B18" s="41"/>
      <c r="C18" s="41" t="s">
        <v>26</v>
      </c>
      <c r="D18" s="41"/>
      <c r="E18" s="75">
        <v>0.04</v>
      </c>
      <c r="F18" s="77"/>
    </row>
    <row r="19" spans="1:6">
      <c r="A19" s="78" t="s">
        <v>27</v>
      </c>
      <c r="B19" s="79" t="s">
        <v>28</v>
      </c>
      <c r="C19" s="80"/>
      <c r="D19" s="81"/>
      <c r="E19" s="82"/>
      <c r="F19" s="84"/>
    </row>
    <row r="20" spans="1:6">
      <c r="A20" s="85"/>
      <c r="B20" s="86" t="s">
        <v>8</v>
      </c>
      <c r="C20" s="87" t="s">
        <v>29</v>
      </c>
      <c r="D20" s="88"/>
      <c r="E20" s="89">
        <v>101194.17534341416</v>
      </c>
      <c r="F20" s="91"/>
    </row>
    <row r="21" spans="1:6">
      <c r="A21" s="21"/>
      <c r="B21" s="92"/>
      <c r="C21" s="23" t="s">
        <v>30</v>
      </c>
      <c r="D21" s="32"/>
      <c r="E21" s="93">
        <v>87230.141537545656</v>
      </c>
      <c r="F21" s="95">
        <v>1.1162560705032039</v>
      </c>
    </row>
    <row r="22" spans="1:6">
      <c r="A22" s="85"/>
      <c r="B22" s="86"/>
      <c r="C22" s="96" t="s">
        <v>31</v>
      </c>
      <c r="D22" s="88"/>
      <c r="E22" s="89">
        <v>97371.17502213901</v>
      </c>
      <c r="F22" s="97" t="s">
        <v>33</v>
      </c>
    </row>
    <row r="23" spans="1:6">
      <c r="A23" s="21"/>
      <c r="B23" s="22" t="s">
        <v>14</v>
      </c>
      <c r="C23" s="23" t="s">
        <v>34</v>
      </c>
      <c r="D23" s="24"/>
      <c r="E23" s="98"/>
      <c r="F23" s="100"/>
    </row>
    <row r="24" spans="1:6">
      <c r="A24" s="85"/>
      <c r="B24" s="101"/>
      <c r="C24" s="87" t="s">
        <v>35</v>
      </c>
      <c r="D24" s="102"/>
      <c r="E24" s="103">
        <v>4.0034886938520191E-2</v>
      </c>
      <c r="F24" s="105">
        <v>3.4886938520189981E-5</v>
      </c>
    </row>
    <row r="25" spans="1:6">
      <c r="A25" s="21"/>
      <c r="B25" s="46"/>
      <c r="C25" s="46" t="s">
        <v>36</v>
      </c>
      <c r="D25" s="46"/>
      <c r="E25" s="106">
        <v>574622</v>
      </c>
      <c r="F25" s="100"/>
    </row>
    <row r="26" spans="1:6">
      <c r="A26" s="85"/>
      <c r="B26" s="102"/>
      <c r="C26" s="102" t="s">
        <v>37</v>
      </c>
      <c r="D26" s="102"/>
      <c r="E26" s="107">
        <v>14353031.666666666</v>
      </c>
      <c r="F26" s="109"/>
    </row>
    <row r="27" spans="1:6">
      <c r="A27" s="21"/>
      <c r="B27" s="46"/>
      <c r="C27" s="110" t="s">
        <v>38</v>
      </c>
      <c r="D27" s="110"/>
      <c r="E27" s="111"/>
      <c r="F27" s="113"/>
    </row>
    <row r="28" spans="1:6">
      <c r="A28" s="85"/>
      <c r="B28" s="102"/>
      <c r="C28" s="102" t="s">
        <v>39</v>
      </c>
      <c r="D28" s="87"/>
      <c r="E28" s="114">
        <v>0.04</v>
      </c>
      <c r="F28" s="116"/>
    </row>
    <row r="29" spans="1:6">
      <c r="A29" s="78" t="s">
        <v>40</v>
      </c>
      <c r="B29" s="117" t="s">
        <v>41</v>
      </c>
      <c r="C29" s="118"/>
      <c r="D29" s="81"/>
      <c r="E29" s="82"/>
      <c r="F29" s="84"/>
    </row>
    <row r="30" spans="1:6">
      <c r="A30" s="25"/>
      <c r="B30" s="26" t="s">
        <v>8</v>
      </c>
      <c r="C30" s="27" t="s">
        <v>42</v>
      </c>
      <c r="D30" s="42"/>
      <c r="E30" s="119" t="s">
        <v>43</v>
      </c>
      <c r="F30" s="121"/>
    </row>
    <row r="31" spans="1:6">
      <c r="A31" s="21"/>
      <c r="B31" s="22" t="s">
        <v>14</v>
      </c>
      <c r="C31" s="23" t="s">
        <v>44</v>
      </c>
      <c r="D31" s="110"/>
      <c r="E31" s="106">
        <v>15500000</v>
      </c>
      <c r="F31" s="100"/>
    </row>
    <row r="32" spans="1:6">
      <c r="A32" s="25"/>
      <c r="B32" s="26" t="s">
        <v>45</v>
      </c>
      <c r="C32" s="27" t="s">
        <v>46</v>
      </c>
      <c r="D32" s="122"/>
      <c r="E32" s="123">
        <v>23250000</v>
      </c>
      <c r="F32" s="124" t="s">
        <v>47</v>
      </c>
    </row>
    <row r="33" spans="1:6">
      <c r="A33" s="21"/>
      <c r="B33" s="22" t="s">
        <v>48</v>
      </c>
      <c r="C33" s="23" t="s">
        <v>49</v>
      </c>
      <c r="D33" s="24"/>
      <c r="E33" s="106">
        <v>57731140.27719605</v>
      </c>
      <c r="F33" s="125"/>
    </row>
    <row r="34" spans="1:6">
      <c r="A34" s="25"/>
      <c r="B34" s="26" t="s">
        <v>50</v>
      </c>
      <c r="C34" s="27" t="s">
        <v>51</v>
      </c>
      <c r="D34" s="28"/>
      <c r="E34" s="126"/>
      <c r="F34" s="128"/>
    </row>
    <row r="35" spans="1:6">
      <c r="A35" s="78" t="s">
        <v>52</v>
      </c>
      <c r="B35" s="79" t="s">
        <v>53</v>
      </c>
      <c r="C35" s="80"/>
      <c r="D35" s="81"/>
      <c r="E35" s="82"/>
      <c r="F35" s="129"/>
    </row>
    <row r="36" spans="1:6">
      <c r="A36" s="25"/>
      <c r="B36" s="26" t="s">
        <v>8</v>
      </c>
      <c r="C36" s="27" t="s">
        <v>42</v>
      </c>
      <c r="D36" s="27"/>
      <c r="E36" s="119" t="s">
        <v>43</v>
      </c>
      <c r="F36" s="131"/>
    </row>
    <row r="37" spans="1:6">
      <c r="A37" s="21"/>
      <c r="B37" s="22" t="s">
        <v>14</v>
      </c>
      <c r="C37" s="23" t="s">
        <v>44</v>
      </c>
      <c r="D37" s="24"/>
      <c r="E37" s="106">
        <v>1200000</v>
      </c>
      <c r="F37" s="63"/>
    </row>
    <row r="38" spans="1:6">
      <c r="A38" s="25"/>
      <c r="B38" s="26" t="s">
        <v>45</v>
      </c>
      <c r="C38" s="27" t="s">
        <v>46</v>
      </c>
      <c r="D38" s="122"/>
      <c r="E38" s="123">
        <v>2520000</v>
      </c>
      <c r="F38" s="124" t="s">
        <v>47</v>
      </c>
    </row>
    <row r="39" spans="1:6">
      <c r="A39" s="21"/>
      <c r="B39" s="22" t="s">
        <v>48</v>
      </c>
      <c r="C39" s="23" t="s">
        <v>49</v>
      </c>
      <c r="D39" s="24"/>
      <c r="E39" s="106">
        <v>373584.98061477998</v>
      </c>
      <c r="F39" s="133"/>
    </row>
    <row r="40" spans="1:6">
      <c r="A40" s="134"/>
      <c r="B40" s="26"/>
      <c r="C40" s="27"/>
      <c r="D40" s="27"/>
      <c r="E40" s="135"/>
      <c r="F40" s="137"/>
    </row>
    <row r="41" spans="1:6">
      <c r="A41" s="78" t="s">
        <v>54</v>
      </c>
      <c r="B41" s="117" t="s">
        <v>55</v>
      </c>
      <c r="C41" s="81"/>
      <c r="D41" s="81"/>
      <c r="E41" s="140"/>
      <c r="F41" s="139"/>
    </row>
    <row r="42" spans="1:6">
      <c r="A42" s="134"/>
      <c r="B42" s="42" t="s">
        <v>56</v>
      </c>
      <c r="C42" s="42" t="s">
        <v>57</v>
      </c>
      <c r="D42" s="42"/>
      <c r="E42" s="141">
        <v>951702791.30227995</v>
      </c>
      <c r="F42" s="142">
        <v>959250771.80930102</v>
      </c>
    </row>
    <row r="43" spans="1:6">
      <c r="A43" s="143"/>
      <c r="B43" s="144"/>
      <c r="C43" s="145" t="s">
        <v>58</v>
      </c>
      <c r="D43" s="144"/>
      <c r="E43" s="146">
        <v>5790088.6094979998</v>
      </c>
      <c r="F43" s="147"/>
    </row>
    <row r="44" spans="1:6">
      <c r="A44" s="134"/>
      <c r="B44" s="148"/>
      <c r="C44" s="42" t="s">
        <v>59</v>
      </c>
      <c r="D44" s="131"/>
      <c r="E44" s="149">
        <v>1757891.8975229999</v>
      </c>
      <c r="F44" s="131"/>
    </row>
    <row r="45" spans="1:6">
      <c r="A45" s="143"/>
      <c r="B45" s="110" t="s">
        <v>60</v>
      </c>
      <c r="C45" s="110" t="s">
        <v>61</v>
      </c>
      <c r="D45" s="150"/>
      <c r="E45" s="151">
        <v>1086076595.8083799</v>
      </c>
      <c r="F45" s="152">
        <v>1120465135.0856199</v>
      </c>
    </row>
    <row r="46" spans="1:6">
      <c r="A46" s="134"/>
      <c r="B46" s="153"/>
      <c r="C46" s="154" t="s">
        <v>62</v>
      </c>
      <c r="D46" s="154"/>
      <c r="E46" s="155">
        <v>25414543.377239998</v>
      </c>
      <c r="F46" s="156"/>
    </row>
    <row r="47" spans="1:6">
      <c r="A47" s="143"/>
      <c r="B47" s="157"/>
      <c r="C47" s="145" t="s">
        <v>63</v>
      </c>
      <c r="D47" s="145"/>
      <c r="E47" s="151">
        <v>8973995.9000000004</v>
      </c>
      <c r="F47" s="158"/>
    </row>
    <row r="48" spans="1:6">
      <c r="A48" s="134"/>
      <c r="B48" s="42"/>
      <c r="C48" s="42" t="s">
        <v>64</v>
      </c>
      <c r="D48" s="42"/>
      <c r="E48" s="267">
        <v>0.85611835814596782</v>
      </c>
      <c r="F48" s="273"/>
    </row>
    <row r="49" spans="1:6">
      <c r="A49" s="159"/>
      <c r="B49" s="160"/>
      <c r="C49" s="160" t="s">
        <v>65</v>
      </c>
      <c r="D49" s="161"/>
      <c r="E49" s="271" t="s">
        <v>66</v>
      </c>
      <c r="F49" s="272"/>
    </row>
    <row r="50" spans="1:6">
      <c r="A50" s="162"/>
      <c r="B50" s="133" t="s">
        <v>67</v>
      </c>
      <c r="C50" s="133" t="s">
        <v>68</v>
      </c>
      <c r="D50" s="133"/>
      <c r="E50" s="163">
        <v>0</v>
      </c>
      <c r="F50" s="63"/>
    </row>
    <row r="51" spans="1:6">
      <c r="A51" s="164" t="s">
        <v>69</v>
      </c>
      <c r="B51" s="165" t="s">
        <v>70</v>
      </c>
      <c r="C51" s="166"/>
      <c r="D51" s="166"/>
      <c r="E51" s="167"/>
      <c r="F51" s="168"/>
    </row>
    <row r="52" spans="1:6">
      <c r="A52" s="143"/>
      <c r="B52" s="157"/>
      <c r="C52" s="145" t="s">
        <v>71</v>
      </c>
      <c r="D52" s="145"/>
      <c r="E52" s="169">
        <v>5.3999999999999999E-2</v>
      </c>
      <c r="F52" s="170"/>
    </row>
    <row r="53" spans="1:6">
      <c r="A53" s="164" t="s">
        <v>72</v>
      </c>
      <c r="B53" s="165" t="s">
        <v>73</v>
      </c>
      <c r="C53" s="166"/>
      <c r="D53" s="166"/>
      <c r="E53" s="304">
        <v>46226</v>
      </c>
      <c r="F53" s="305"/>
    </row>
    <row r="54" spans="1:6">
      <c r="A54" s="134"/>
      <c r="B54" s="153"/>
      <c r="C54" s="154" t="s">
        <v>74</v>
      </c>
      <c r="D54" s="154"/>
      <c r="E54" s="171">
        <v>0.8917461687022431</v>
      </c>
      <c r="F54" s="173"/>
    </row>
    <row r="55" spans="1:6">
      <c r="A55" s="143"/>
      <c r="B55" s="157"/>
      <c r="C55" s="145" t="s">
        <v>75</v>
      </c>
      <c r="D55" s="145"/>
      <c r="E55" s="174">
        <v>0.75015589872414412</v>
      </c>
      <c r="F55" s="175"/>
    </row>
    <row r="56" spans="1:6">
      <c r="A56" s="134"/>
      <c r="B56" s="42"/>
      <c r="C56" s="42" t="s">
        <v>76</v>
      </c>
      <c r="D56" s="176"/>
      <c r="E56" s="171">
        <v>0.86310141503205884</v>
      </c>
      <c r="F56" s="177"/>
    </row>
    <row r="57" spans="1:6">
      <c r="A57" s="164" t="s">
        <v>77</v>
      </c>
      <c r="B57" s="165" t="s">
        <v>78</v>
      </c>
      <c r="C57" s="166"/>
      <c r="D57" s="166"/>
      <c r="E57" s="82"/>
      <c r="F57" s="84"/>
    </row>
    <row r="58" spans="1:6">
      <c r="A58" s="134"/>
      <c r="B58" s="153"/>
      <c r="C58" s="154" t="s">
        <v>79</v>
      </c>
      <c r="D58" s="154"/>
      <c r="E58" s="171">
        <v>0.91805406986002636</v>
      </c>
      <c r="F58" s="179"/>
    </row>
    <row r="59" spans="1:6">
      <c r="A59" s="180"/>
      <c r="B59" s="181"/>
      <c r="C59" s="182" t="s">
        <v>81</v>
      </c>
      <c r="D59" s="182"/>
      <c r="E59" s="183">
        <v>0.2140696875681275</v>
      </c>
      <c r="F59" s="184"/>
    </row>
    <row r="60" spans="1:6">
      <c r="B60"/>
      <c r="E60" s="185"/>
      <c r="F60" s="186"/>
    </row>
    <row r="61" spans="1:6">
      <c r="A61" s="187" t="s">
        <v>82</v>
      </c>
      <c r="B61" s="187"/>
      <c r="C61" s="187" t="s">
        <v>83</v>
      </c>
      <c r="D61" s="187"/>
      <c r="E61" s="188"/>
      <c r="F61" s="186"/>
    </row>
    <row r="62" spans="1:6">
      <c r="A62" s="189"/>
      <c r="B62" s="189"/>
      <c r="C62" s="189" t="s">
        <v>84</v>
      </c>
      <c r="D62" s="189"/>
      <c r="E62" s="188"/>
      <c r="F62" s="186"/>
    </row>
    <row r="63" spans="1:6">
      <c r="A63" s="189"/>
      <c r="B63"/>
      <c r="C63" s="189" t="s">
        <v>85</v>
      </c>
      <c r="D63" s="189"/>
      <c r="E63" s="188"/>
      <c r="F63" s="186"/>
    </row>
    <row r="64" spans="1:6">
      <c r="A64" s="190" t="s">
        <v>86</v>
      </c>
      <c r="B64" s="190"/>
      <c r="C64" s="190" t="s">
        <v>87</v>
      </c>
      <c r="D64" s="190"/>
      <c r="E64" s="191"/>
      <c r="F64" s="186"/>
    </row>
    <row r="65" spans="1:6">
      <c r="A65" s="192" t="s">
        <v>88</v>
      </c>
      <c r="B65" s="192"/>
      <c r="C65" s="192"/>
      <c r="D65" s="192"/>
      <c r="E65" s="193"/>
      <c r="F65" s="186"/>
    </row>
    <row r="66" spans="1:6">
      <c r="A66" s="185" t="s">
        <v>89</v>
      </c>
      <c r="B66" s="185"/>
      <c r="C66" s="185"/>
      <c r="D66" s="185"/>
      <c r="E66" s="194"/>
      <c r="F66" s="186"/>
    </row>
    <row r="67" spans="1:6">
      <c r="A67" s="195" t="s">
        <v>90</v>
      </c>
      <c r="B67" s="195"/>
      <c r="C67" s="195"/>
      <c r="D67" s="195"/>
      <c r="E67" s="195"/>
      <c r="F67" s="186"/>
    </row>
    <row r="68" spans="1:6">
      <c r="B68"/>
    </row>
    <row r="69" spans="1:6">
      <c r="B69"/>
    </row>
    <row r="70" spans="1:6">
      <c r="B70"/>
    </row>
    <row r="71" spans="1:6">
      <c r="B71"/>
    </row>
    <row r="72" spans="1:6">
      <c r="B72"/>
    </row>
    <row r="73" spans="1:6">
      <c r="A73" s="196"/>
      <c r="B73" s="196"/>
      <c r="C73" s="196"/>
      <c r="D73" s="196"/>
      <c r="E73" s="196"/>
      <c r="F73" s="196"/>
    </row>
    <row r="74" spans="1:6">
      <c r="A74" s="196"/>
      <c r="B74" s="196"/>
      <c r="C74" s="196"/>
      <c r="D74" s="196"/>
      <c r="E74" s="196"/>
      <c r="F74" s="196"/>
    </row>
    <row r="75" spans="1:6">
      <c r="A75" s="196"/>
      <c r="B75" s="196"/>
      <c r="C75" s="196"/>
      <c r="D75" s="196"/>
      <c r="E75" s="124" t="s">
        <v>94</v>
      </c>
      <c r="F75" s="196"/>
    </row>
    <row r="76" spans="1:6">
      <c r="A76" s="192"/>
      <c r="B76" s="192"/>
      <c r="C76" s="192"/>
      <c r="D76" s="192"/>
      <c r="E76" s="192"/>
      <c r="F76" s="192"/>
    </row>
    <row r="77" spans="1:6">
      <c r="A77" s="192"/>
      <c r="B77" s="192"/>
      <c r="C77" s="192"/>
      <c r="D77" s="192"/>
      <c r="E77" s="192"/>
      <c r="F77" s="192"/>
    </row>
    <row r="78" spans="1:6">
      <c r="A78" s="192"/>
      <c r="B78" s="192"/>
      <c r="C78" s="192"/>
      <c r="D78" s="192"/>
      <c r="E78" s="192"/>
      <c r="F78" s="192"/>
    </row>
    <row r="79" spans="1:6">
      <c r="A79" s="192"/>
      <c r="B79" s="192"/>
      <c r="C79" s="192"/>
      <c r="D79" s="192"/>
      <c r="E79" s="192"/>
      <c r="F79" s="192"/>
    </row>
    <row r="80" spans="1:6">
      <c r="A80" s="193"/>
      <c r="B80" s="193"/>
      <c r="C80" s="193"/>
      <c r="D80" s="193"/>
      <c r="E80" s="193"/>
      <c r="F80" s="193"/>
    </row>
    <row r="81" spans="1:6">
      <c r="A81" s="193"/>
      <c r="B81" s="193"/>
      <c r="C81" s="193"/>
      <c r="D81" s="193"/>
      <c r="E81" s="193" t="s">
        <v>96</v>
      </c>
      <c r="F81" s="198"/>
    </row>
    <row r="82" spans="1:6">
      <c r="F82" s="198"/>
    </row>
    <row r="83" spans="1:6">
      <c r="D83" s="200"/>
      <c r="F83" s="201"/>
    </row>
    <row r="84" spans="1:6">
      <c r="E84" t="s">
        <v>97</v>
      </c>
      <c r="F84" s="198"/>
    </row>
    <row r="85" spans="1:6">
      <c r="C85" t="s">
        <v>98</v>
      </c>
      <c r="E85" t="s">
        <v>99</v>
      </c>
      <c r="F85" s="198"/>
    </row>
    <row r="86" spans="1:6">
      <c r="E86" t="s">
        <v>100</v>
      </c>
      <c r="F86" s="198"/>
    </row>
    <row r="87" spans="1:6">
      <c r="A87" s="202" t="s">
        <v>101</v>
      </c>
      <c r="E87" t="s">
        <v>102</v>
      </c>
      <c r="F87" s="198"/>
    </row>
    <row r="88" spans="1:6">
      <c r="F88" s="201"/>
    </row>
    <row r="93" spans="1:6">
      <c r="F93" s="198"/>
    </row>
    <row r="94" spans="1:6">
      <c r="F94" s="198"/>
    </row>
    <row r="95" spans="1:6">
      <c r="F95" s="201"/>
    </row>
    <row r="96" spans="1:6">
      <c r="F96" s="198"/>
    </row>
    <row r="97" spans="4:6">
      <c r="F97" s="198"/>
    </row>
    <row r="98" spans="4:6">
      <c r="E98" s="207" t="s">
        <v>93</v>
      </c>
      <c r="F98" s="198"/>
    </row>
    <row r="99" spans="4:6">
      <c r="D99" s="208" t="s">
        <v>104</v>
      </c>
      <c r="F99" s="201"/>
    </row>
    <row r="100" spans="4:6">
      <c r="D100" s="209">
        <v>0</v>
      </c>
    </row>
    <row r="101" spans="4:6">
      <c r="D101" s="208" t="s">
        <v>61</v>
      </c>
    </row>
    <row r="102" spans="4:6">
      <c r="D102" s="209">
        <v>0</v>
      </c>
    </row>
    <row r="103" spans="4:6">
      <c r="D103" s="208"/>
    </row>
    <row r="104" spans="4:6">
      <c r="D104" s="208"/>
    </row>
    <row r="117" spans="4:6">
      <c r="E117" s="213"/>
    </row>
    <row r="118" spans="4:6">
      <c r="F118" s="214"/>
    </row>
    <row r="119" spans="4:6">
      <c r="E119" s="215"/>
      <c r="F119" s="216"/>
    </row>
    <row r="120" spans="4:6">
      <c r="F120" s="217"/>
    </row>
    <row r="121" spans="4:6">
      <c r="E121" s="218"/>
      <c r="F121" s="219"/>
    </row>
    <row r="122" spans="4:6">
      <c r="E122" s="220"/>
      <c r="F122" s="217"/>
    </row>
    <row r="123" spans="4:6">
      <c r="D123" s="221"/>
      <c r="E123" s="223"/>
      <c r="F123" s="224"/>
    </row>
    <row r="124" spans="4:6">
      <c r="D124" s="225"/>
      <c r="F124" s="228"/>
    </row>
    <row r="125" spans="4:6">
      <c r="D125" s="229"/>
      <c r="F125" s="232"/>
    </row>
    <row r="126" spans="4:6">
      <c r="E126" s="235"/>
      <c r="F126" s="232"/>
    </row>
    <row r="127" spans="4:6">
      <c r="E127" s="215"/>
      <c r="F127" s="235"/>
    </row>
    <row r="128" spans="4:6">
      <c r="D128" s="237"/>
      <c r="F128" s="239"/>
    </row>
    <row r="129" spans="4:6">
      <c r="D129" s="237"/>
      <c r="E129" s="240"/>
      <c r="F129" s="241"/>
    </row>
    <row r="130" spans="4:6">
      <c r="D130" s="242"/>
      <c r="F130" s="244"/>
    </row>
    <row r="131" spans="4:6">
      <c r="D131" s="242"/>
      <c r="F131" s="245"/>
    </row>
    <row r="132" spans="4:6">
      <c r="E132" s="246"/>
      <c r="F132" s="247"/>
    </row>
    <row r="133" spans="4:6">
      <c r="D133" s="221"/>
      <c r="F133" s="241"/>
    </row>
    <row r="134" spans="4:6">
      <c r="D134" s="237"/>
      <c r="E134" s="248"/>
    </row>
    <row r="135" spans="4:6">
      <c r="D135" s="242"/>
      <c r="E135" s="250"/>
      <c r="F135" s="248"/>
    </row>
    <row r="136" spans="4:6">
      <c r="D136" s="237"/>
      <c r="E136" s="251"/>
      <c r="F136" s="223"/>
    </row>
    <row r="137" spans="4:6">
      <c r="D137" s="242"/>
      <c r="E137" s="250"/>
      <c r="F137" s="223"/>
    </row>
    <row r="138" spans="4:6">
      <c r="D138" s="237"/>
      <c r="E138" s="250"/>
      <c r="F138" s="223"/>
    </row>
    <row r="139" spans="4:6">
      <c r="F139" s="223"/>
    </row>
    <row r="140" spans="4:6">
      <c r="D140" s="221"/>
      <c r="E140" s="248"/>
    </row>
    <row r="141" spans="4:6">
      <c r="D141" s="237"/>
      <c r="E141" s="250"/>
      <c r="F141" s="248"/>
    </row>
    <row r="142" spans="4:6">
      <c r="D142" s="242"/>
      <c r="E142" s="251"/>
      <c r="F142" s="255"/>
    </row>
    <row r="143" spans="4:6">
      <c r="D143" s="237"/>
      <c r="E143" s="250"/>
      <c r="F143" s="255"/>
    </row>
    <row r="144" spans="4:6">
      <c r="D144" s="237"/>
      <c r="E144" s="250"/>
      <c r="F144" s="255"/>
    </row>
    <row r="145" spans="4:6">
      <c r="F145" s="255"/>
    </row>
    <row r="146" spans="4:6">
      <c r="D146" s="221"/>
    </row>
    <row r="147" spans="4:6">
      <c r="D147" s="237"/>
    </row>
    <row r="148" spans="4:6">
      <c r="D148" s="242"/>
    </row>
    <row r="149" spans="4:6">
      <c r="D149" s="237"/>
    </row>
  </sheetData>
  <conditionalFormatting sqref="F6 F22 F32 F38">
    <cfRule type="containsText" dxfId="12" priority="9" operator="containsText" text="RED">
      <formula>NOT(ISERROR(SEARCH("RED",F6)))</formula>
    </cfRule>
    <cfRule type="containsText" dxfId="11" priority="10" operator="containsText" text="DARK YELLOW">
      <formula>NOT(ISERROR(SEARCH("DARK YELLOW",F6)))</formula>
    </cfRule>
    <cfRule type="containsText" dxfId="10" priority="11" operator="containsText" text="LIGHT YELLOW">
      <formula>NOT(ISERROR(SEARCH("LIGHT YELLOW",F6)))</formula>
    </cfRule>
    <cfRule type="containsText" dxfId="9" priority="12" operator="containsText" text="LIGHT GREEN">
      <formula>NOT(ISERROR(SEARCH("LIGHT GREEN",F6)))</formula>
    </cfRule>
    <cfRule type="containsText" dxfId="8" priority="13" operator="containsText" text="DARK GREEN">
      <formula>NOT(ISERROR(SEARCH("DARK GREEN",F6)))</formula>
    </cfRule>
  </conditionalFormatting>
  <conditionalFormatting sqref="F32 F38">
    <cfRule type="containsText" dxfId="7" priority="8" operator="containsText" text="Red">
      <formula>NOT(ISERROR(SEARCH("Red",F32)))</formula>
    </cfRule>
  </conditionalFormatting>
  <conditionalFormatting sqref="F32 F38">
    <cfRule type="containsText" dxfId="6" priority="4" operator="containsText" text="Dark Yellow">
      <formula>NOT(ISERROR(SEARCH("Dark Yellow",F32)))</formula>
    </cfRule>
    <cfRule type="containsText" dxfId="5" priority="5" operator="containsText" text="Light Yellow">
      <formula>NOT(ISERROR(SEARCH("Light Yellow",F32)))</formula>
    </cfRule>
    <cfRule type="containsText" dxfId="4" priority="6" operator="containsText" text="Light Green">
      <formula>NOT(ISERROR(SEARCH("Light Green",F32)))</formula>
    </cfRule>
    <cfRule type="containsText" dxfId="3" priority="7" operator="containsText" text="Dark Green">
      <formula>NOT(ISERROR(SEARCH("Dark Green",F32)))</formula>
    </cfRule>
  </conditionalFormatting>
  <conditionalFormatting sqref="E122:E123 F123:F124">
    <cfRule type="containsText" dxfId="2" priority="1" operator="containsText" text="Red">
      <formula>NOT(ISERROR(SEARCH("Red",E122)))</formula>
    </cfRule>
    <cfRule type="containsText" dxfId="1" priority="2" operator="containsText" text="Green">
      <formula>NOT(ISERROR(SEARCH("Green",E122)))</formula>
    </cfRule>
    <cfRule type="containsText" dxfId="0" priority="3" operator="containsText" text="Yellow">
      <formula>NOT(ISERROR(SEARCH("Yellow",E122)))</formula>
    </cfRule>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27175</dc:creator>
  <cp:keywords/>
  <dc:description/>
  <cp:lastModifiedBy>Satria Hexa Sunu</cp:lastModifiedBy>
  <cp:revision/>
  <dcterms:created xsi:type="dcterms:W3CDTF">2026-07-28T01:29:33Z</dcterms:created>
  <dcterms:modified xsi:type="dcterms:W3CDTF">2026-08-10T02:11:20Z</dcterms:modified>
  <cp:category/>
  <cp:contentStatus/>
</cp:coreProperties>
</file>