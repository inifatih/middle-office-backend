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codeName="ThisWorkbook"/>
  <xr:revisionPtr revIDLastSave="8" documentId="11_872B88DA78BB37086F4DC716B1685C2DC4C0E0D6" xr6:coauthVersionLast="47" xr6:coauthVersionMax="47" xr10:uidLastSave="{F4005ABE-65D8-4B3A-B220-B8A5F0656334}"/>
  <bookViews>
    <workbookView xWindow="32760" yWindow="32760" windowWidth="19200" windowHeight="7965" activeTab="1" xr2:uid="{00000000-000D-0000-FFFF-FFFF00000000}"/>
  </bookViews>
  <sheets>
    <sheet name="2026" sheetId="2" r:id="rId1"/>
    <sheet name="upload" sheetId="20" r:id="rId2"/>
    <sheet name="Sheet3" sheetId="3" state="hidden" r:id="rId3"/>
    <sheet name="HK" sheetId="16" r:id="rId4"/>
    <sheet name="LDN" sheetId="15" r:id="rId5"/>
    <sheet name="NY" sheetId="14" r:id="rId6"/>
    <sheet name="SEO" sheetId="13" r:id="rId7"/>
    <sheet name="SG" sheetId="12" r:id="rId8"/>
    <sheet name="TKY" sheetId="19" r:id="rId9"/>
  </sheets>
  <externalReferences>
    <externalReference r:id="rId10"/>
    <externalReference r:id="rId11"/>
    <externalReference r:id="rId12"/>
    <externalReference r:id="rId13"/>
  </externalReferences>
  <definedNames>
    <definedName name="_xlnm.Print_Area" localSheetId="0">'2026'!$A$1:$G$29</definedName>
    <definedName name="RATE">'[1]Otomasi adjst'!$C$2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9" l="1"/>
  <c r="J7" i="19"/>
  <c r="J7" i="16"/>
  <c r="J6" i="16"/>
  <c r="L6" i="16" s="1"/>
  <c r="I84" i="12"/>
  <c r="I78" i="12"/>
  <c r="I77" i="12"/>
  <c r="I76" i="12"/>
  <c r="I75" i="12"/>
  <c r="X74" i="12"/>
  <c r="W74" i="12"/>
  <c r="V74" i="12"/>
  <c r="U74" i="12"/>
  <c r="T74" i="12"/>
  <c r="S74" i="12"/>
  <c r="R74" i="12"/>
  <c r="Q74" i="12"/>
  <c r="P74" i="12"/>
  <c r="O74" i="12"/>
  <c r="N74" i="12"/>
  <c r="M74" i="12"/>
  <c r="L74" i="12"/>
  <c r="L71" i="12"/>
  <c r="L70" i="12"/>
  <c r="K74" i="12"/>
  <c r="I74" i="12"/>
  <c r="I73" i="12"/>
  <c r="I72" i="12"/>
  <c r="X71" i="12"/>
  <c r="W71" i="12"/>
  <c r="V71" i="12"/>
  <c r="V70" i="12"/>
  <c r="U71" i="12"/>
  <c r="U70" i="12"/>
  <c r="T71" i="12"/>
  <c r="T70" i="12"/>
  <c r="S71" i="12"/>
  <c r="R71" i="12"/>
  <c r="R70" i="12"/>
  <c r="Q71" i="12"/>
  <c r="Q70" i="12"/>
  <c r="P71" i="12"/>
  <c r="P70" i="12"/>
  <c r="O71" i="12"/>
  <c r="O70" i="12"/>
  <c r="N71" i="12"/>
  <c r="N70" i="12"/>
  <c r="M71" i="12"/>
  <c r="M70" i="12"/>
  <c r="K71" i="12"/>
  <c r="J71" i="12"/>
  <c r="I71" i="12"/>
  <c r="X70" i="12"/>
  <c r="W70" i="12"/>
  <c r="S70" i="12"/>
  <c r="K70" i="12"/>
  <c r="J70" i="12"/>
  <c r="I68" i="12"/>
  <c r="I67" i="12"/>
  <c r="I66" i="12"/>
  <c r="I65" i="12"/>
  <c r="X64" i="12"/>
  <c r="W64" i="12"/>
  <c r="V64" i="12"/>
  <c r="U64" i="12"/>
  <c r="T64" i="12"/>
  <c r="S64" i="12"/>
  <c r="R64" i="12"/>
  <c r="Q64" i="12"/>
  <c r="Q62" i="12"/>
  <c r="Q61" i="12"/>
  <c r="P64" i="12"/>
  <c r="O64" i="12"/>
  <c r="N64" i="12"/>
  <c r="N62" i="12"/>
  <c r="M64" i="12"/>
  <c r="L64" i="12"/>
  <c r="K64" i="12"/>
  <c r="J63" i="12"/>
  <c r="I63" i="12"/>
  <c r="X62" i="12"/>
  <c r="X61" i="12"/>
  <c r="X80" i="12"/>
  <c r="W62" i="12"/>
  <c r="V62" i="12"/>
  <c r="V61" i="12"/>
  <c r="V80" i="12"/>
  <c r="U62" i="12"/>
  <c r="U61" i="12"/>
  <c r="U80" i="12"/>
  <c r="T62" i="12"/>
  <c r="T61" i="12"/>
  <c r="S62" i="12"/>
  <c r="S61" i="12"/>
  <c r="S80" i="12"/>
  <c r="R62" i="12"/>
  <c r="P62" i="12"/>
  <c r="O62" i="12"/>
  <c r="M62" i="12"/>
  <c r="M61" i="12"/>
  <c r="M80" i="12"/>
  <c r="L62" i="12"/>
  <c r="L61" i="12"/>
  <c r="L80" i="12"/>
  <c r="K62" i="12"/>
  <c r="K61" i="12"/>
  <c r="K80" i="12"/>
  <c r="J62" i="12"/>
  <c r="J61" i="12"/>
  <c r="W61" i="12"/>
  <c r="W80" i="12"/>
  <c r="R61" i="12"/>
  <c r="P61" i="12"/>
  <c r="P80" i="12" s="1"/>
  <c r="O61" i="12"/>
  <c r="O80" i="12" s="1"/>
  <c r="J56" i="12"/>
  <c r="I56" i="12"/>
  <c r="I55" i="12"/>
  <c r="I54" i="12"/>
  <c r="X53" i="12"/>
  <c r="W53" i="12"/>
  <c r="V53" i="12"/>
  <c r="U53" i="12"/>
  <c r="T53" i="12"/>
  <c r="S53" i="12"/>
  <c r="R53" i="12"/>
  <c r="Q53" i="12"/>
  <c r="P53" i="12"/>
  <c r="O53" i="12"/>
  <c r="N53" i="12"/>
  <c r="M53" i="12"/>
  <c r="L53" i="12"/>
  <c r="K53" i="12"/>
  <c r="J53" i="12"/>
  <c r="I53" i="12" s="1"/>
  <c r="I52" i="12"/>
  <c r="I51" i="12"/>
  <c r="X50" i="12"/>
  <c r="W50" i="12"/>
  <c r="V50" i="12"/>
  <c r="U50" i="12"/>
  <c r="T50" i="12"/>
  <c r="S50" i="12"/>
  <c r="R50" i="12"/>
  <c r="Q50" i="12"/>
  <c r="P50" i="12"/>
  <c r="O50" i="12"/>
  <c r="N50" i="12"/>
  <c r="M50" i="12"/>
  <c r="L50" i="12"/>
  <c r="K50" i="12"/>
  <c r="J50" i="12"/>
  <c r="I50" i="12" s="1"/>
  <c r="I49" i="12"/>
  <c r="I48" i="12"/>
  <c r="I47" i="12"/>
  <c r="X46" i="12"/>
  <c r="W46" i="12"/>
  <c r="V46" i="12"/>
  <c r="U46" i="12"/>
  <c r="T46" i="12"/>
  <c r="S46" i="12"/>
  <c r="R46" i="12"/>
  <c r="Q46" i="12"/>
  <c r="P46" i="12"/>
  <c r="L46" i="12"/>
  <c r="K46" i="12"/>
  <c r="J46" i="12"/>
  <c r="I46" i="12"/>
  <c r="I45" i="12"/>
  <c r="I44" i="12"/>
  <c r="I43" i="12"/>
  <c r="I42" i="12"/>
  <c r="I41" i="12"/>
  <c r="X40" i="12"/>
  <c r="W40" i="12"/>
  <c r="V40" i="12"/>
  <c r="U40" i="12"/>
  <c r="T40" i="12"/>
  <c r="S40" i="12"/>
  <c r="R40" i="12"/>
  <c r="O40" i="12"/>
  <c r="N40" i="12"/>
  <c r="N37" i="12"/>
  <c r="N36" i="12"/>
  <c r="M40" i="12"/>
  <c r="M37" i="12"/>
  <c r="M36" i="12"/>
  <c r="L40" i="12"/>
  <c r="L37" i="12"/>
  <c r="L36" i="12"/>
  <c r="K40" i="12"/>
  <c r="K37" i="12"/>
  <c r="J40" i="12"/>
  <c r="K35" i="12" s="1"/>
  <c r="I40" i="12"/>
  <c r="J39" i="12"/>
  <c r="I39" i="12"/>
  <c r="J38" i="12"/>
  <c r="J35" i="12" s="1"/>
  <c r="I38" i="12"/>
  <c r="X37" i="12"/>
  <c r="X36" i="12"/>
  <c r="W37" i="12"/>
  <c r="W36" i="12"/>
  <c r="V37" i="12"/>
  <c r="V36" i="12"/>
  <c r="U37" i="12"/>
  <c r="U36" i="12"/>
  <c r="T37" i="12"/>
  <c r="T36" i="12"/>
  <c r="S37" i="12"/>
  <c r="S36" i="12"/>
  <c r="R37" i="12"/>
  <c r="R36" i="12"/>
  <c r="Q37" i="12"/>
  <c r="P37" i="12"/>
  <c r="P36" i="12"/>
  <c r="O37" i="12"/>
  <c r="O36" i="12"/>
  <c r="J37" i="12"/>
  <c r="J36" i="12"/>
  <c r="Q36" i="12"/>
  <c r="J33" i="12"/>
  <c r="I33" i="12"/>
  <c r="I32" i="12"/>
  <c r="I31" i="12"/>
  <c r="X30" i="12"/>
  <c r="W30" i="12"/>
  <c r="V30" i="12"/>
  <c r="U30" i="12"/>
  <c r="T30" i="12"/>
  <c r="S30" i="12"/>
  <c r="R30" i="12"/>
  <c r="Q30" i="12"/>
  <c r="P30" i="12"/>
  <c r="O30" i="12"/>
  <c r="N30" i="12"/>
  <c r="M30" i="12"/>
  <c r="L30" i="12"/>
  <c r="K30" i="12"/>
  <c r="J30" i="12"/>
  <c r="I29" i="12"/>
  <c r="I28" i="12"/>
  <c r="X27" i="12"/>
  <c r="X16" i="12"/>
  <c r="X58" i="12"/>
  <c r="W27" i="12"/>
  <c r="W16" i="12"/>
  <c r="W58" i="12"/>
  <c r="V27" i="12"/>
  <c r="V16" i="12"/>
  <c r="V58" i="12"/>
  <c r="U27" i="12"/>
  <c r="T27" i="12"/>
  <c r="T16" i="12" s="1"/>
  <c r="T58" i="12" s="1"/>
  <c r="S27" i="12"/>
  <c r="S16" i="12" s="1"/>
  <c r="S58" i="12" s="1"/>
  <c r="S82" i="12" s="1"/>
  <c r="R27" i="12"/>
  <c r="Q27" i="12"/>
  <c r="P27" i="12"/>
  <c r="O27" i="12"/>
  <c r="N27" i="12"/>
  <c r="M27" i="12"/>
  <c r="L27" i="12"/>
  <c r="K27" i="12"/>
  <c r="J27" i="12"/>
  <c r="I27" i="12" s="1"/>
  <c r="I26" i="12"/>
  <c r="I24" i="12"/>
  <c r="I23" i="12"/>
  <c r="I22" i="12"/>
  <c r="X21" i="12"/>
  <c r="W21" i="12"/>
  <c r="V21" i="12"/>
  <c r="U21" i="12"/>
  <c r="T21" i="12"/>
  <c r="T20" i="12"/>
  <c r="S21" i="12"/>
  <c r="R21" i="12"/>
  <c r="R20" i="12"/>
  <c r="Q21" i="12"/>
  <c r="P21" i="12"/>
  <c r="O21" i="12"/>
  <c r="N21" i="12"/>
  <c r="N20" i="12"/>
  <c r="M21" i="12"/>
  <c r="L21" i="12"/>
  <c r="L20" i="12"/>
  <c r="L16" i="12"/>
  <c r="L58" i="12"/>
  <c r="L82" i="12"/>
  <c r="K21" i="12"/>
  <c r="J21" i="12"/>
  <c r="J20" i="12"/>
  <c r="I21" i="12"/>
  <c r="X20" i="12"/>
  <c r="W20" i="12"/>
  <c r="V20" i="12"/>
  <c r="U20" i="12"/>
  <c r="S20" i="12"/>
  <c r="Q20" i="12"/>
  <c r="P20" i="12"/>
  <c r="O20" i="12"/>
  <c r="M20" i="12"/>
  <c r="K20" i="12"/>
  <c r="K16" i="12"/>
  <c r="I19" i="12"/>
  <c r="I18" i="12"/>
  <c r="I17" i="12"/>
  <c r="R16" i="12"/>
  <c r="R58" i="12" s="1"/>
  <c r="Q16" i="12"/>
  <c r="Q58" i="12"/>
  <c r="P16" i="12"/>
  <c r="O16" i="12"/>
  <c r="N16" i="12"/>
  <c r="M16" i="12"/>
  <c r="K14" i="12"/>
  <c r="J14" i="12"/>
  <c r="L7" i="19"/>
  <c r="K7" i="19"/>
  <c r="M58" i="12"/>
  <c r="M82" i="12"/>
  <c r="N58" i="12"/>
  <c r="V82" i="12"/>
  <c r="J16" i="12"/>
  <c r="N8" i="12" s="1"/>
  <c r="I20" i="12"/>
  <c r="X82" i="12"/>
  <c r="Q80" i="12"/>
  <c r="Q82" i="12"/>
  <c r="I62" i="12"/>
  <c r="N61" i="12"/>
  <c r="N80" i="12"/>
  <c r="I37" i="12"/>
  <c r="K36" i="12"/>
  <c r="I36" i="12"/>
  <c r="O58" i="12"/>
  <c r="O82" i="12"/>
  <c r="R80" i="12"/>
  <c r="R82" i="12" s="1"/>
  <c r="P58" i="12"/>
  <c r="P82" i="12"/>
  <c r="W82" i="12"/>
  <c r="J80" i="12"/>
  <c r="I70" i="12"/>
  <c r="T80" i="12"/>
  <c r="T82" i="12"/>
  <c r="U16" i="12"/>
  <c r="U58" i="12"/>
  <c r="U82" i="12"/>
  <c r="I30" i="12"/>
  <c r="I64" i="12"/>
  <c r="K58" i="12"/>
  <c r="K82" i="12"/>
  <c r="I61" i="12"/>
  <c r="I80" i="12"/>
  <c r="N82" i="12"/>
  <c r="I16" i="12"/>
  <c r="J58" i="12"/>
  <c r="I58" i="12"/>
  <c r="J82" i="12"/>
  <c r="J84" i="12"/>
  <c r="K84" i="12"/>
  <c r="L84" i="12"/>
  <c r="M84" i="12"/>
  <c r="N84" i="12"/>
  <c r="O84" i="12"/>
  <c r="P84" i="12"/>
  <c r="Q84" i="12"/>
  <c r="R84" i="12"/>
  <c r="S84" i="12"/>
  <c r="T84" i="12"/>
  <c r="U84" i="12"/>
  <c r="V84" i="12"/>
  <c r="W84" i="12"/>
  <c r="X84" i="12"/>
  <c r="I82" i="13"/>
  <c r="I76" i="13"/>
  <c r="I75" i="13"/>
  <c r="I74" i="13"/>
  <c r="I73" i="13"/>
  <c r="X72" i="13"/>
  <c r="X69" i="13"/>
  <c r="X68" i="13"/>
  <c r="W72" i="13"/>
  <c r="V72" i="13"/>
  <c r="U72" i="13"/>
  <c r="T72" i="13"/>
  <c r="S72" i="13"/>
  <c r="R72" i="13"/>
  <c r="Q72" i="13"/>
  <c r="P72" i="13"/>
  <c r="O72" i="13"/>
  <c r="N72" i="13"/>
  <c r="M72" i="13"/>
  <c r="M69" i="13"/>
  <c r="M68" i="13"/>
  <c r="L72" i="13"/>
  <c r="L69" i="13"/>
  <c r="L68" i="13"/>
  <c r="K72" i="13"/>
  <c r="J72" i="13"/>
  <c r="I71" i="13"/>
  <c r="I70" i="13"/>
  <c r="W69" i="13"/>
  <c r="V69" i="13"/>
  <c r="U69" i="13"/>
  <c r="T69" i="13"/>
  <c r="T68" i="13"/>
  <c r="S69" i="13"/>
  <c r="S68" i="13"/>
  <c r="R69" i="13"/>
  <c r="R68" i="13"/>
  <c r="Q69" i="13"/>
  <c r="P69" i="13"/>
  <c r="P68" i="13"/>
  <c r="O69" i="13"/>
  <c r="O68" i="13"/>
  <c r="N69" i="13"/>
  <c r="N68" i="13"/>
  <c r="K69" i="13"/>
  <c r="J69" i="13"/>
  <c r="W68" i="13"/>
  <c r="V68" i="13"/>
  <c r="U68" i="13"/>
  <c r="Q68" i="13"/>
  <c r="K68" i="13"/>
  <c r="J68" i="13"/>
  <c r="I66" i="13"/>
  <c r="I65" i="13"/>
  <c r="I64" i="13"/>
  <c r="I63" i="13"/>
  <c r="X62" i="13"/>
  <c r="W62" i="13"/>
  <c r="V62" i="13"/>
  <c r="U62" i="13"/>
  <c r="T62" i="13"/>
  <c r="S62" i="13"/>
  <c r="R62" i="13"/>
  <c r="R60" i="13"/>
  <c r="R59" i="13"/>
  <c r="Q62" i="13"/>
  <c r="P62" i="13"/>
  <c r="O62" i="13"/>
  <c r="N62" i="13"/>
  <c r="N60" i="13"/>
  <c r="N59" i="13"/>
  <c r="M62" i="13"/>
  <c r="M60" i="13"/>
  <c r="L62" i="13"/>
  <c r="K62" i="13"/>
  <c r="J62" i="13"/>
  <c r="I61" i="13"/>
  <c r="X60" i="13"/>
  <c r="X59" i="13"/>
  <c r="X78" i="13"/>
  <c r="W60" i="13"/>
  <c r="W59" i="13"/>
  <c r="W78" i="13"/>
  <c r="V60" i="13"/>
  <c r="V59" i="13"/>
  <c r="V78" i="13"/>
  <c r="U60" i="13"/>
  <c r="U59" i="13"/>
  <c r="U78" i="13"/>
  <c r="T60" i="13"/>
  <c r="S60" i="13"/>
  <c r="S59" i="13"/>
  <c r="Q60" i="13"/>
  <c r="Q59" i="13"/>
  <c r="Q78" i="13"/>
  <c r="P60" i="13"/>
  <c r="O60" i="13"/>
  <c r="L60" i="13"/>
  <c r="K60" i="13"/>
  <c r="K59" i="13"/>
  <c r="K78" i="13"/>
  <c r="J60" i="13"/>
  <c r="J59" i="13"/>
  <c r="T59" i="13"/>
  <c r="P59" i="13"/>
  <c r="O59" i="13"/>
  <c r="L59" i="13"/>
  <c r="L78" i="13" s="1"/>
  <c r="I54" i="13"/>
  <c r="I53" i="13"/>
  <c r="I52" i="13"/>
  <c r="X51" i="13"/>
  <c r="W51" i="13"/>
  <c r="V51" i="13"/>
  <c r="U51" i="13"/>
  <c r="T51" i="13"/>
  <c r="S51" i="13"/>
  <c r="R51" i="13"/>
  <c r="Q51" i="13"/>
  <c r="P51" i="13"/>
  <c r="O51" i="13"/>
  <c r="N51" i="13"/>
  <c r="M51" i="13"/>
  <c r="L51" i="13"/>
  <c r="K51" i="13"/>
  <c r="J51" i="13"/>
  <c r="I50" i="13"/>
  <c r="I49" i="13"/>
  <c r="X48" i="13"/>
  <c r="W48" i="13"/>
  <c r="V48" i="13"/>
  <c r="U48" i="13"/>
  <c r="T48" i="13"/>
  <c r="S48" i="13"/>
  <c r="R48" i="13"/>
  <c r="Q48" i="13"/>
  <c r="P48" i="13"/>
  <c r="O48" i="13"/>
  <c r="N48" i="13"/>
  <c r="M48" i="13"/>
  <c r="L48" i="13"/>
  <c r="K48" i="13"/>
  <c r="J48" i="13"/>
  <c r="I48" i="13" s="1"/>
  <c r="I47" i="13"/>
  <c r="I46" i="13"/>
  <c r="I45" i="13"/>
  <c r="X44" i="13"/>
  <c r="W44" i="13"/>
  <c r="V44" i="13"/>
  <c r="U44" i="13"/>
  <c r="T44" i="13"/>
  <c r="S44" i="13"/>
  <c r="R44" i="13"/>
  <c r="Q44" i="13"/>
  <c r="P44" i="13"/>
  <c r="O44" i="13"/>
  <c r="N44" i="13"/>
  <c r="M44" i="13"/>
  <c r="L44" i="13"/>
  <c r="K44" i="13"/>
  <c r="J44" i="13"/>
  <c r="I44" i="13" s="1"/>
  <c r="I43" i="13"/>
  <c r="I42" i="13"/>
  <c r="I41" i="13"/>
  <c r="I40" i="13"/>
  <c r="I39" i="13"/>
  <c r="X38" i="13"/>
  <c r="W38" i="13"/>
  <c r="V38" i="13"/>
  <c r="U38" i="13"/>
  <c r="T38" i="13"/>
  <c r="S38" i="13"/>
  <c r="S35" i="13"/>
  <c r="S34" i="13"/>
  <c r="R38" i="13"/>
  <c r="R35" i="13"/>
  <c r="R34" i="13"/>
  <c r="Q38" i="13"/>
  <c r="Q35" i="13"/>
  <c r="Q34" i="13"/>
  <c r="P38" i="13"/>
  <c r="P35" i="13"/>
  <c r="P34" i="13"/>
  <c r="O38" i="13"/>
  <c r="O35" i="13"/>
  <c r="O34" i="13"/>
  <c r="N38" i="13"/>
  <c r="N35" i="13"/>
  <c r="N34" i="13"/>
  <c r="M38" i="13"/>
  <c r="M35" i="13"/>
  <c r="M34" i="13"/>
  <c r="L38" i="13"/>
  <c r="L35" i="13"/>
  <c r="L34" i="13"/>
  <c r="K38" i="13"/>
  <c r="J38" i="13"/>
  <c r="I38" i="13"/>
  <c r="J37" i="13"/>
  <c r="I37" i="13"/>
  <c r="J36" i="13"/>
  <c r="J35" i="13"/>
  <c r="I36" i="13"/>
  <c r="X35" i="13"/>
  <c r="X34" i="13"/>
  <c r="W35" i="13"/>
  <c r="W34" i="13" s="1"/>
  <c r="V35" i="13"/>
  <c r="V34" i="13" s="1"/>
  <c r="U35" i="13"/>
  <c r="T35" i="13"/>
  <c r="K35" i="13"/>
  <c r="U34" i="13"/>
  <c r="T34" i="13"/>
  <c r="I31" i="13"/>
  <c r="I30" i="13"/>
  <c r="I29" i="13"/>
  <c r="X28" i="13"/>
  <c r="W28" i="13"/>
  <c r="V28" i="13"/>
  <c r="U28" i="13"/>
  <c r="T28" i="13"/>
  <c r="S28" i="13"/>
  <c r="R28" i="13"/>
  <c r="Q28" i="13"/>
  <c r="P28" i="13"/>
  <c r="O28" i="13"/>
  <c r="N28" i="13"/>
  <c r="M28" i="13"/>
  <c r="L28" i="13"/>
  <c r="K28" i="13"/>
  <c r="J28" i="13"/>
  <c r="I28" i="13" s="1"/>
  <c r="I27" i="13"/>
  <c r="I26" i="13"/>
  <c r="X25" i="13"/>
  <c r="W25" i="13"/>
  <c r="V25" i="13"/>
  <c r="U25" i="13"/>
  <c r="T25" i="13"/>
  <c r="S25" i="13"/>
  <c r="R25" i="13"/>
  <c r="Q25" i="13"/>
  <c r="P25" i="13"/>
  <c r="O25" i="13"/>
  <c r="N25" i="13"/>
  <c r="M25" i="13"/>
  <c r="L25" i="13"/>
  <c r="K25" i="13"/>
  <c r="J25" i="13"/>
  <c r="I25" i="13"/>
  <c r="I24" i="13"/>
  <c r="I23" i="13"/>
  <c r="I22" i="13"/>
  <c r="I21" i="13"/>
  <c r="I20" i="13"/>
  <c r="X19" i="13"/>
  <c r="W19" i="13"/>
  <c r="V19" i="13"/>
  <c r="V18" i="13"/>
  <c r="V14" i="13"/>
  <c r="V56" i="13"/>
  <c r="U19" i="13"/>
  <c r="T19" i="13"/>
  <c r="T18" i="13"/>
  <c r="T14" i="13"/>
  <c r="T56" i="13"/>
  <c r="S19" i="13"/>
  <c r="R19" i="13"/>
  <c r="Q19" i="13"/>
  <c r="Q18" i="13"/>
  <c r="Q14" i="13"/>
  <c r="P19" i="13"/>
  <c r="P18" i="13"/>
  <c r="P14" i="13"/>
  <c r="O19" i="13"/>
  <c r="N19" i="13"/>
  <c r="N18" i="13"/>
  <c r="N14" i="13"/>
  <c r="N56" i="13"/>
  <c r="M19" i="13"/>
  <c r="L19" i="13"/>
  <c r="K19" i="13"/>
  <c r="J19" i="13"/>
  <c r="I19" i="13"/>
  <c r="X18" i="13"/>
  <c r="X14" i="13" s="1"/>
  <c r="W18" i="13"/>
  <c r="U18" i="13"/>
  <c r="U14" i="13"/>
  <c r="U56" i="13"/>
  <c r="S18" i="13"/>
  <c r="S14" i="13"/>
  <c r="S56" i="13"/>
  <c r="R18" i="13"/>
  <c r="O18" i="13"/>
  <c r="O14" i="13"/>
  <c r="M18" i="13"/>
  <c r="L18" i="13"/>
  <c r="K18" i="13"/>
  <c r="J18" i="13"/>
  <c r="M17" i="13"/>
  <c r="M14" i="13" s="1"/>
  <c r="L17" i="13"/>
  <c r="L14" i="13" s="1"/>
  <c r="K17" i="13"/>
  <c r="K14" i="13" s="1"/>
  <c r="J17" i="13"/>
  <c r="J32" i="13" s="1"/>
  <c r="I17" i="13"/>
  <c r="I16" i="13"/>
  <c r="J15" i="13"/>
  <c r="I15" i="13"/>
  <c r="R14" i="13"/>
  <c r="U80" i="13"/>
  <c r="O78" i="13"/>
  <c r="T78" i="13"/>
  <c r="T80" i="13"/>
  <c r="J34" i="13"/>
  <c r="I35" i="13"/>
  <c r="M59" i="13"/>
  <c r="M78" i="13"/>
  <c r="I60" i="13"/>
  <c r="N78" i="13"/>
  <c r="N80" i="13"/>
  <c r="I18" i="13"/>
  <c r="R78" i="13"/>
  <c r="V80" i="13"/>
  <c r="J78" i="13"/>
  <c r="I59" i="13"/>
  <c r="P56" i="13"/>
  <c r="L56" i="13"/>
  <c r="L80" i="13"/>
  <c r="O56" i="13"/>
  <c r="O80" i="13"/>
  <c r="R56" i="13"/>
  <c r="P78" i="13"/>
  <c r="I68" i="13"/>
  <c r="X56" i="13"/>
  <c r="X80" i="13"/>
  <c r="Q56" i="13"/>
  <c r="Q80" i="13"/>
  <c r="S78" i="13"/>
  <c r="S80" i="13"/>
  <c r="I69" i="13"/>
  <c r="M56" i="13"/>
  <c r="M80" i="13"/>
  <c r="I51" i="13"/>
  <c r="W14" i="13"/>
  <c r="W56" i="13"/>
  <c r="W80" i="13"/>
  <c r="J14" i="13"/>
  <c r="K8" i="13" s="1"/>
  <c r="K34" i="13"/>
  <c r="K56" i="13" s="1"/>
  <c r="K80" i="13" s="1"/>
  <c r="I62" i="13"/>
  <c r="I72" i="13"/>
  <c r="I14" i="13"/>
  <c r="J56" i="13"/>
  <c r="I34" i="13"/>
  <c r="R80" i="13"/>
  <c r="P80" i="13"/>
  <c r="I56" i="13"/>
  <c r="J80" i="13"/>
  <c r="J82" i="13"/>
  <c r="K82" i="13"/>
  <c r="L82" i="13"/>
  <c r="M82" i="13"/>
  <c r="N82" i="13"/>
  <c r="O82" i="13"/>
  <c r="P82" i="13"/>
  <c r="Q82" i="13"/>
  <c r="R82" i="13"/>
  <c r="S82" i="13"/>
  <c r="T82" i="13"/>
  <c r="U82" i="13"/>
  <c r="V82" i="13"/>
  <c r="W82" i="13"/>
  <c r="X82" i="13"/>
  <c r="I82" i="14"/>
  <c r="X76" i="14"/>
  <c r="W76" i="14"/>
  <c r="V76" i="14"/>
  <c r="U76" i="14"/>
  <c r="T76" i="14"/>
  <c r="S76" i="14"/>
  <c r="R76" i="14"/>
  <c r="Q76" i="14"/>
  <c r="P76" i="14"/>
  <c r="O76" i="14"/>
  <c r="N76" i="14"/>
  <c r="M76" i="14"/>
  <c r="L76" i="14"/>
  <c r="K76" i="14"/>
  <c r="J76" i="14"/>
  <c r="I76" i="14" s="1"/>
  <c r="X75" i="14"/>
  <c r="W75" i="14"/>
  <c r="V75" i="14"/>
  <c r="U75" i="14"/>
  <c r="T75" i="14"/>
  <c r="S75" i="14"/>
  <c r="R75" i="14"/>
  <c r="Q75" i="14"/>
  <c r="P75" i="14"/>
  <c r="O75" i="14"/>
  <c r="N75" i="14"/>
  <c r="M75" i="14"/>
  <c r="L75" i="14"/>
  <c r="K75" i="14"/>
  <c r="J75" i="14"/>
  <c r="I75" i="14" s="1"/>
  <c r="X74" i="14"/>
  <c r="W74" i="14"/>
  <c r="V74" i="14"/>
  <c r="U74" i="14"/>
  <c r="T74" i="14"/>
  <c r="S74" i="14"/>
  <c r="R74" i="14"/>
  <c r="Q74" i="14"/>
  <c r="P74" i="14"/>
  <c r="O74" i="14"/>
  <c r="N74" i="14"/>
  <c r="M74" i="14"/>
  <c r="L74" i="14"/>
  <c r="K74" i="14"/>
  <c r="J74" i="14"/>
  <c r="I74" i="14" s="1"/>
  <c r="X73" i="14"/>
  <c r="W73" i="14"/>
  <c r="V73" i="14"/>
  <c r="U73" i="14"/>
  <c r="T73" i="14"/>
  <c r="S73" i="14"/>
  <c r="R73" i="14"/>
  <c r="Q73" i="14"/>
  <c r="P73" i="14"/>
  <c r="O73" i="14"/>
  <c r="N73" i="14"/>
  <c r="M73" i="14"/>
  <c r="L73" i="14"/>
  <c r="K73" i="14"/>
  <c r="J73" i="14"/>
  <c r="I73" i="14" s="1"/>
  <c r="X72" i="14"/>
  <c r="W72" i="14"/>
  <c r="V72" i="14"/>
  <c r="U72" i="14"/>
  <c r="T72" i="14"/>
  <c r="S72" i="14"/>
  <c r="R72" i="14"/>
  <c r="Q72" i="14"/>
  <c r="P72" i="14"/>
  <c r="O72" i="14"/>
  <c r="N72" i="14"/>
  <c r="M72" i="14"/>
  <c r="L72" i="14"/>
  <c r="K72" i="14"/>
  <c r="J72" i="14"/>
  <c r="I72" i="14" s="1"/>
  <c r="X71" i="14"/>
  <c r="W71" i="14"/>
  <c r="V71" i="14"/>
  <c r="U71" i="14"/>
  <c r="T71" i="14"/>
  <c r="S71" i="14"/>
  <c r="R71" i="14"/>
  <c r="Q71" i="14"/>
  <c r="P71" i="14"/>
  <c r="O71" i="14"/>
  <c r="N71" i="14"/>
  <c r="M71" i="14"/>
  <c r="L71" i="14"/>
  <c r="K71" i="14"/>
  <c r="J71" i="14"/>
  <c r="I71" i="14" s="1"/>
  <c r="X70" i="14"/>
  <c r="W70" i="14"/>
  <c r="V70" i="14"/>
  <c r="U70" i="14"/>
  <c r="T70" i="14"/>
  <c r="T69" i="14" s="1"/>
  <c r="T68" i="14" s="1"/>
  <c r="S70" i="14"/>
  <c r="R70" i="14"/>
  <c r="R69" i="14" s="1"/>
  <c r="R68" i="14" s="1"/>
  <c r="Q70" i="14"/>
  <c r="Q69" i="14"/>
  <c r="Q68" i="14"/>
  <c r="P70" i="14"/>
  <c r="O70" i="14"/>
  <c r="N70" i="14"/>
  <c r="N69" i="14"/>
  <c r="N68" i="14"/>
  <c r="M70" i="14"/>
  <c r="L70" i="14"/>
  <c r="K70" i="14"/>
  <c r="K69" i="14"/>
  <c r="K68" i="14"/>
  <c r="J70" i="14"/>
  <c r="I70" i="14" s="1"/>
  <c r="J69" i="14"/>
  <c r="X69" i="14"/>
  <c r="W69" i="14"/>
  <c r="V69" i="14"/>
  <c r="U69" i="14"/>
  <c r="S69" i="14"/>
  <c r="P69" i="14"/>
  <c r="O69" i="14"/>
  <c r="M69" i="14"/>
  <c r="M68" i="14"/>
  <c r="L69" i="14"/>
  <c r="X68" i="14"/>
  <c r="W68" i="14"/>
  <c r="V68" i="14"/>
  <c r="U68" i="14"/>
  <c r="S68" i="14"/>
  <c r="P68" i="14"/>
  <c r="O68" i="14"/>
  <c r="L68" i="14"/>
  <c r="X66" i="14"/>
  <c r="W66" i="14"/>
  <c r="V66" i="14"/>
  <c r="U66" i="14"/>
  <c r="T66" i="14"/>
  <c r="S66" i="14"/>
  <c r="R66" i="14"/>
  <c r="Q66" i="14"/>
  <c r="P66" i="14"/>
  <c r="O66" i="14"/>
  <c r="N66" i="14"/>
  <c r="M66" i="14"/>
  <c r="L66" i="14"/>
  <c r="K66" i="14"/>
  <c r="J66" i="14"/>
  <c r="I66" i="14" s="1"/>
  <c r="X65" i="14"/>
  <c r="W65" i="14"/>
  <c r="V65" i="14"/>
  <c r="U65" i="14"/>
  <c r="T65" i="14"/>
  <c r="S65" i="14"/>
  <c r="R65" i="14"/>
  <c r="Q65" i="14"/>
  <c r="P65" i="14"/>
  <c r="O65" i="14"/>
  <c r="N65" i="14"/>
  <c r="M65" i="14"/>
  <c r="L65" i="14"/>
  <c r="K65" i="14"/>
  <c r="J65" i="14"/>
  <c r="I65" i="14" s="1"/>
  <c r="X64" i="14"/>
  <c r="X62" i="14"/>
  <c r="W64" i="14"/>
  <c r="V64" i="14"/>
  <c r="V62" i="14"/>
  <c r="U64" i="14"/>
  <c r="T64" i="14"/>
  <c r="S64" i="14"/>
  <c r="R64" i="14"/>
  <c r="Q64" i="14"/>
  <c r="P64" i="14"/>
  <c r="O64" i="14"/>
  <c r="N64" i="14"/>
  <c r="M64" i="14"/>
  <c r="L64" i="14"/>
  <c r="K64" i="14"/>
  <c r="J64" i="14"/>
  <c r="I63" i="14"/>
  <c r="W62" i="14"/>
  <c r="U62" i="14"/>
  <c r="T62" i="14"/>
  <c r="S62" i="14"/>
  <c r="R62" i="14"/>
  <c r="Q62" i="14"/>
  <c r="P62" i="14"/>
  <c r="O62" i="14"/>
  <c r="N62" i="14"/>
  <c r="M62" i="14"/>
  <c r="L62" i="14"/>
  <c r="K62" i="14"/>
  <c r="J62" i="14"/>
  <c r="X61" i="14"/>
  <c r="X60" i="14" s="1"/>
  <c r="X59" i="14" s="1"/>
  <c r="X78" i="14" s="1"/>
  <c r="W61" i="14"/>
  <c r="V61" i="14"/>
  <c r="U61" i="14"/>
  <c r="T61" i="14"/>
  <c r="S61" i="14"/>
  <c r="R61" i="14"/>
  <c r="Q61" i="14"/>
  <c r="P61" i="14"/>
  <c r="P60" i="14" s="1"/>
  <c r="P59" i="14" s="1"/>
  <c r="P78" i="14" s="1"/>
  <c r="O61" i="14"/>
  <c r="N61" i="14"/>
  <c r="N60" i="14"/>
  <c r="N59" i="14"/>
  <c r="N78" i="14"/>
  <c r="M61" i="14"/>
  <c r="L61" i="14"/>
  <c r="K61" i="14"/>
  <c r="K60" i="14"/>
  <c r="K59" i="14"/>
  <c r="J61" i="14"/>
  <c r="J60" i="14"/>
  <c r="I61" i="14"/>
  <c r="W60" i="14"/>
  <c r="U60" i="14"/>
  <c r="T60" i="14"/>
  <c r="S60" i="14"/>
  <c r="S59" i="14"/>
  <c r="S78" i="14"/>
  <c r="R60" i="14"/>
  <c r="Q60" i="14"/>
  <c r="Q59" i="14"/>
  <c r="Q78" i="14"/>
  <c r="O60" i="14"/>
  <c r="O59" i="14"/>
  <c r="O78" i="14"/>
  <c r="M60" i="14"/>
  <c r="L60" i="14"/>
  <c r="L59" i="14"/>
  <c r="L78" i="14"/>
  <c r="W59" i="14"/>
  <c r="W78" i="14"/>
  <c r="U59" i="14"/>
  <c r="U78" i="14"/>
  <c r="T59" i="14"/>
  <c r="R59" i="14"/>
  <c r="M59" i="14"/>
  <c r="M78" i="14"/>
  <c r="X54" i="14"/>
  <c r="W54" i="14"/>
  <c r="V54" i="14"/>
  <c r="U54" i="14"/>
  <c r="T54" i="14"/>
  <c r="S54" i="14"/>
  <c r="R54" i="14"/>
  <c r="Q54" i="14"/>
  <c r="P54" i="14"/>
  <c r="O54" i="14"/>
  <c r="N54" i="14"/>
  <c r="M54" i="14"/>
  <c r="L54" i="14"/>
  <c r="K54" i="14"/>
  <c r="J54" i="14"/>
  <c r="I54" i="14"/>
  <c r="X53" i="14"/>
  <c r="W53" i="14"/>
  <c r="V53" i="14"/>
  <c r="U53" i="14"/>
  <c r="T53" i="14"/>
  <c r="S53" i="14"/>
  <c r="R53" i="14"/>
  <c r="Q53" i="14"/>
  <c r="P53" i="14"/>
  <c r="O53" i="14"/>
  <c r="N53" i="14"/>
  <c r="M53" i="14"/>
  <c r="L53" i="14"/>
  <c r="K53" i="14"/>
  <c r="J53" i="14"/>
  <c r="I53" i="14"/>
  <c r="X52" i="14"/>
  <c r="W52" i="14"/>
  <c r="V52" i="14"/>
  <c r="U52" i="14"/>
  <c r="T52" i="14"/>
  <c r="S52" i="14"/>
  <c r="R52" i="14"/>
  <c r="R51" i="14"/>
  <c r="Q52" i="14"/>
  <c r="P52" i="14"/>
  <c r="O52" i="14"/>
  <c r="N52" i="14"/>
  <c r="M52" i="14"/>
  <c r="M51" i="14"/>
  <c r="L52" i="14"/>
  <c r="L51" i="14"/>
  <c r="K52" i="14"/>
  <c r="J52" i="14"/>
  <c r="J51" i="14"/>
  <c r="I52" i="14"/>
  <c r="X51" i="14"/>
  <c r="W51" i="14"/>
  <c r="V51" i="14"/>
  <c r="U51" i="14"/>
  <c r="T51" i="14"/>
  <c r="S51" i="14"/>
  <c r="Q51" i="14"/>
  <c r="P51" i="14"/>
  <c r="O51" i="14"/>
  <c r="N51" i="14"/>
  <c r="K51" i="14"/>
  <c r="X50" i="14"/>
  <c r="W50" i="14"/>
  <c r="V50" i="14"/>
  <c r="U50" i="14"/>
  <c r="T50" i="14"/>
  <c r="S50" i="14"/>
  <c r="R50" i="14"/>
  <c r="Q50" i="14"/>
  <c r="P50" i="14"/>
  <c r="O50" i="14"/>
  <c r="N50" i="14"/>
  <c r="M50" i="14"/>
  <c r="L50" i="14"/>
  <c r="K50" i="14"/>
  <c r="J50" i="14"/>
  <c r="I50" i="14"/>
  <c r="X49" i="14"/>
  <c r="W49" i="14"/>
  <c r="V49" i="14"/>
  <c r="U49" i="14"/>
  <c r="T49" i="14"/>
  <c r="S49" i="14"/>
  <c r="R49" i="14"/>
  <c r="R48" i="14" s="1"/>
  <c r="Q49" i="14"/>
  <c r="P49" i="14"/>
  <c r="P48" i="14" s="1"/>
  <c r="O49" i="14"/>
  <c r="O48" i="14" s="1"/>
  <c r="N49" i="14"/>
  <c r="N48" i="14" s="1"/>
  <c r="M49" i="14"/>
  <c r="M48" i="14"/>
  <c r="L49" i="14"/>
  <c r="L48" i="14"/>
  <c r="K49" i="14"/>
  <c r="K48" i="14"/>
  <c r="J49" i="14"/>
  <c r="J48" i="14"/>
  <c r="I49" i="14"/>
  <c r="X48" i="14"/>
  <c r="W48" i="14"/>
  <c r="V48" i="14"/>
  <c r="U48" i="14"/>
  <c r="T48" i="14"/>
  <c r="S48" i="14"/>
  <c r="Q48" i="14"/>
  <c r="I48" i="14" s="1"/>
  <c r="X47" i="14"/>
  <c r="W47" i="14"/>
  <c r="V47" i="14"/>
  <c r="U47" i="14"/>
  <c r="T47" i="14"/>
  <c r="S47" i="14"/>
  <c r="R47" i="14"/>
  <c r="Q47" i="14"/>
  <c r="P47" i="14"/>
  <c r="O47" i="14"/>
  <c r="N47" i="14"/>
  <c r="M47" i="14"/>
  <c r="L47" i="14"/>
  <c r="K47" i="14"/>
  <c r="J47" i="14"/>
  <c r="I47" i="14"/>
  <c r="X46" i="14"/>
  <c r="W46" i="14"/>
  <c r="V46" i="14"/>
  <c r="U46" i="14"/>
  <c r="T46" i="14"/>
  <c r="S46" i="14"/>
  <c r="R46" i="14"/>
  <c r="Q46" i="14"/>
  <c r="P46" i="14"/>
  <c r="O46" i="14"/>
  <c r="N46" i="14"/>
  <c r="M46" i="14"/>
  <c r="L46" i="14"/>
  <c r="K46" i="14"/>
  <c r="J46" i="14"/>
  <c r="I46" i="14"/>
  <c r="X45" i="14"/>
  <c r="W45" i="14"/>
  <c r="V45" i="14"/>
  <c r="U45" i="14"/>
  <c r="T45" i="14"/>
  <c r="S45" i="14"/>
  <c r="S44" i="14"/>
  <c r="R45" i="14"/>
  <c r="R44" i="14"/>
  <c r="Q45" i="14"/>
  <c r="P45" i="14"/>
  <c r="O45" i="14"/>
  <c r="O44" i="14" s="1"/>
  <c r="N45" i="14"/>
  <c r="N44" i="14" s="1"/>
  <c r="M45" i="14"/>
  <c r="L45" i="14"/>
  <c r="K45" i="14"/>
  <c r="J45" i="14"/>
  <c r="J44" i="14"/>
  <c r="I45" i="14"/>
  <c r="X44" i="14"/>
  <c r="W44" i="14"/>
  <c r="V44" i="14"/>
  <c r="U44" i="14"/>
  <c r="T44" i="14"/>
  <c r="Q44" i="14"/>
  <c r="P44" i="14"/>
  <c r="M44" i="14"/>
  <c r="L44" i="14"/>
  <c r="K44" i="14"/>
  <c r="X43" i="14"/>
  <c r="W43" i="14"/>
  <c r="V43" i="14"/>
  <c r="U43" i="14"/>
  <c r="T43" i="14"/>
  <c r="S43" i="14"/>
  <c r="R43" i="14"/>
  <c r="Q43" i="14"/>
  <c r="P43" i="14"/>
  <c r="O43" i="14"/>
  <c r="N43" i="14"/>
  <c r="M43" i="14"/>
  <c r="L43" i="14"/>
  <c r="K43" i="14"/>
  <c r="J43" i="14"/>
  <c r="J55" i="14" s="1"/>
  <c r="I43" i="14"/>
  <c r="X42" i="14"/>
  <c r="W42" i="14"/>
  <c r="V42" i="14"/>
  <c r="U42" i="14"/>
  <c r="T42" i="14"/>
  <c r="S42" i="14"/>
  <c r="R42" i="14"/>
  <c r="Q42" i="14"/>
  <c r="P42" i="14"/>
  <c r="O42" i="14"/>
  <c r="N42" i="14"/>
  <c r="M42" i="14"/>
  <c r="L42" i="14"/>
  <c r="K42" i="14"/>
  <c r="J42" i="14"/>
  <c r="I42" i="14"/>
  <c r="X41" i="14"/>
  <c r="W41" i="14"/>
  <c r="V41" i="14"/>
  <c r="U41" i="14"/>
  <c r="T41" i="14"/>
  <c r="S41" i="14"/>
  <c r="R41" i="14"/>
  <c r="Q41" i="14"/>
  <c r="P41" i="14"/>
  <c r="O41" i="14"/>
  <c r="N41" i="14"/>
  <c r="M41" i="14"/>
  <c r="L41" i="14"/>
  <c r="K41" i="14"/>
  <c r="J41" i="14"/>
  <c r="I41" i="14"/>
  <c r="X40" i="14"/>
  <c r="W40" i="14"/>
  <c r="V40" i="14"/>
  <c r="U40" i="14"/>
  <c r="T40" i="14"/>
  <c r="S40" i="14"/>
  <c r="R40" i="14"/>
  <c r="Q40" i="14"/>
  <c r="P40" i="14"/>
  <c r="O40" i="14"/>
  <c r="N40" i="14"/>
  <c r="M40" i="14"/>
  <c r="L40" i="14"/>
  <c r="K40" i="14"/>
  <c r="J40" i="14"/>
  <c r="I40" i="14"/>
  <c r="X39" i="14"/>
  <c r="W39" i="14"/>
  <c r="V39" i="14"/>
  <c r="U39" i="14"/>
  <c r="U38" i="14" s="1"/>
  <c r="T39" i="14"/>
  <c r="S39" i="14"/>
  <c r="R39" i="14"/>
  <c r="Q39" i="14"/>
  <c r="Q38" i="14"/>
  <c r="P39" i="14"/>
  <c r="P38" i="14" s="1"/>
  <c r="O39" i="14"/>
  <c r="O38" i="14" s="1"/>
  <c r="N39" i="14"/>
  <c r="M39" i="14"/>
  <c r="M38" i="14"/>
  <c r="L39" i="14"/>
  <c r="L38" i="14" s="1"/>
  <c r="K39" i="14"/>
  <c r="K38" i="14"/>
  <c r="J39" i="14"/>
  <c r="I39" i="14"/>
  <c r="X38" i="14"/>
  <c r="W38" i="14"/>
  <c r="V38" i="14"/>
  <c r="T38" i="14"/>
  <c r="S38" i="14"/>
  <c r="R38" i="14"/>
  <c r="N38" i="14"/>
  <c r="J38" i="14"/>
  <c r="I38" i="14" s="1"/>
  <c r="X37" i="14"/>
  <c r="W37" i="14"/>
  <c r="V37" i="14"/>
  <c r="U37" i="14"/>
  <c r="T37" i="14"/>
  <c r="S37" i="14"/>
  <c r="R37" i="14"/>
  <c r="Q37" i="14"/>
  <c r="P37" i="14"/>
  <c r="O37" i="14"/>
  <c r="N37" i="14"/>
  <c r="M37" i="14"/>
  <c r="L37" i="14"/>
  <c r="K37" i="14"/>
  <c r="J37" i="14"/>
  <c r="I37" i="14"/>
  <c r="X36" i="14"/>
  <c r="W36" i="14"/>
  <c r="V36" i="14"/>
  <c r="U36" i="14"/>
  <c r="U35" i="14"/>
  <c r="U34" i="14"/>
  <c r="T36" i="14"/>
  <c r="S36" i="14"/>
  <c r="R36" i="14"/>
  <c r="R35" i="14"/>
  <c r="R34" i="14"/>
  <c r="Q36" i="14"/>
  <c r="Q35" i="14"/>
  <c r="Q34" i="14"/>
  <c r="P36" i="14"/>
  <c r="P35" i="14"/>
  <c r="P34" i="14"/>
  <c r="O36" i="14"/>
  <c r="O35" i="14" s="1"/>
  <c r="N36" i="14"/>
  <c r="M36" i="14"/>
  <c r="L36" i="14"/>
  <c r="L35" i="14" s="1"/>
  <c r="L34" i="14" s="1"/>
  <c r="K36" i="14"/>
  <c r="J36" i="14"/>
  <c r="I36" i="14"/>
  <c r="X35" i="14"/>
  <c r="W35" i="14"/>
  <c r="V35" i="14"/>
  <c r="T35" i="14"/>
  <c r="S35" i="14"/>
  <c r="S34" i="14"/>
  <c r="N35" i="14"/>
  <c r="N34" i="14"/>
  <c r="J35" i="14"/>
  <c r="J34" i="14"/>
  <c r="X34" i="14"/>
  <c r="W34" i="14"/>
  <c r="V34" i="14"/>
  <c r="T34" i="14"/>
  <c r="X31" i="14"/>
  <c r="W31" i="14"/>
  <c r="V31" i="14"/>
  <c r="U31" i="14"/>
  <c r="T31" i="14"/>
  <c r="S31" i="14"/>
  <c r="R31" i="14"/>
  <c r="Q31" i="14"/>
  <c r="P31" i="14"/>
  <c r="O31" i="14"/>
  <c r="N31" i="14"/>
  <c r="M31" i="14"/>
  <c r="L31" i="14"/>
  <c r="K31" i="14"/>
  <c r="J31" i="14"/>
  <c r="I31" i="14"/>
  <c r="X30" i="14"/>
  <c r="W30" i="14"/>
  <c r="V30" i="14"/>
  <c r="U30" i="14"/>
  <c r="T30" i="14"/>
  <c r="S30" i="14"/>
  <c r="R30" i="14"/>
  <c r="Q30" i="14"/>
  <c r="P30" i="14"/>
  <c r="O30" i="14"/>
  <c r="N30" i="14"/>
  <c r="M30" i="14"/>
  <c r="L30" i="14"/>
  <c r="K30" i="14"/>
  <c r="J30" i="14"/>
  <c r="I30" i="14"/>
  <c r="X29" i="14"/>
  <c r="W29" i="14"/>
  <c r="V29" i="14"/>
  <c r="U29" i="14"/>
  <c r="U28" i="14"/>
  <c r="T29" i="14"/>
  <c r="S29" i="14"/>
  <c r="R29" i="14"/>
  <c r="Q29" i="14"/>
  <c r="Q28" i="14"/>
  <c r="P29" i="14"/>
  <c r="O29" i="14"/>
  <c r="N29" i="14"/>
  <c r="M29" i="14"/>
  <c r="L29" i="14"/>
  <c r="K29" i="14"/>
  <c r="J29" i="14"/>
  <c r="J28" i="14" s="1"/>
  <c r="I29" i="14"/>
  <c r="X28" i="14"/>
  <c r="W28" i="14"/>
  <c r="V28" i="14"/>
  <c r="T28" i="14"/>
  <c r="S28" i="14"/>
  <c r="R28" i="14"/>
  <c r="P28" i="14"/>
  <c r="O28" i="14"/>
  <c r="N28" i="14"/>
  <c r="M28" i="14"/>
  <c r="L28" i="14"/>
  <c r="K28" i="14"/>
  <c r="X27" i="14"/>
  <c r="W27" i="14"/>
  <c r="V27" i="14"/>
  <c r="U27" i="14"/>
  <c r="T27" i="14"/>
  <c r="S27" i="14"/>
  <c r="R27" i="14"/>
  <c r="Q27" i="14"/>
  <c r="P27" i="14"/>
  <c r="O27" i="14"/>
  <c r="N27" i="14"/>
  <c r="M27" i="14"/>
  <c r="L27" i="14"/>
  <c r="K27" i="14"/>
  <c r="J27" i="14"/>
  <c r="I27" i="14"/>
  <c r="X26" i="14"/>
  <c r="W26" i="14"/>
  <c r="V26" i="14"/>
  <c r="U26" i="14"/>
  <c r="T26" i="14"/>
  <c r="S26" i="14"/>
  <c r="R26" i="14"/>
  <c r="Q26" i="14"/>
  <c r="Q25" i="14" s="1"/>
  <c r="P26" i="14"/>
  <c r="P25" i="14"/>
  <c r="O26" i="14"/>
  <c r="O25" i="14"/>
  <c r="N26" i="14"/>
  <c r="M26" i="14"/>
  <c r="M25" i="14"/>
  <c r="L26" i="14"/>
  <c r="K26" i="14"/>
  <c r="J26" i="14"/>
  <c r="J25" i="14"/>
  <c r="I26" i="14"/>
  <c r="X25" i="14"/>
  <c r="W25" i="14"/>
  <c r="V25" i="14"/>
  <c r="U25" i="14"/>
  <c r="T25" i="14"/>
  <c r="S25" i="14"/>
  <c r="R25" i="14"/>
  <c r="N25" i="14"/>
  <c r="L25" i="14"/>
  <c r="K25" i="14"/>
  <c r="I25" i="14" s="1"/>
  <c r="X24" i="14"/>
  <c r="W24" i="14"/>
  <c r="V24" i="14"/>
  <c r="U24" i="14"/>
  <c r="T24" i="14"/>
  <c r="S24" i="14"/>
  <c r="R24" i="14"/>
  <c r="Q24" i="14"/>
  <c r="P24" i="14"/>
  <c r="O24" i="14"/>
  <c r="N24" i="14"/>
  <c r="M24" i="14"/>
  <c r="L24" i="14"/>
  <c r="K24" i="14"/>
  <c r="J24" i="14"/>
  <c r="I24" i="14"/>
  <c r="X23" i="14"/>
  <c r="W23" i="14"/>
  <c r="V23" i="14"/>
  <c r="U23" i="14"/>
  <c r="T23" i="14"/>
  <c r="S23" i="14"/>
  <c r="R23" i="14"/>
  <c r="Q23" i="14"/>
  <c r="P23" i="14"/>
  <c r="O23" i="14"/>
  <c r="N23" i="14"/>
  <c r="M23" i="14"/>
  <c r="L23" i="14"/>
  <c r="K23" i="14"/>
  <c r="J23" i="14"/>
  <c r="I23" i="14"/>
  <c r="X22" i="14"/>
  <c r="W22" i="14"/>
  <c r="V22" i="14"/>
  <c r="U22" i="14"/>
  <c r="T22" i="14"/>
  <c r="S22" i="14"/>
  <c r="R22" i="14"/>
  <c r="Q22" i="14"/>
  <c r="P22" i="14"/>
  <c r="O22" i="14"/>
  <c r="N22" i="14"/>
  <c r="M22" i="14"/>
  <c r="L22" i="14"/>
  <c r="K22" i="14"/>
  <c r="J22" i="14"/>
  <c r="I22" i="14"/>
  <c r="X21" i="14"/>
  <c r="W21" i="14"/>
  <c r="V21" i="14"/>
  <c r="U21" i="14"/>
  <c r="T21" i="14"/>
  <c r="S21" i="14"/>
  <c r="R21" i="14"/>
  <c r="Q21" i="14"/>
  <c r="P21" i="14"/>
  <c r="O21" i="14"/>
  <c r="N21" i="14"/>
  <c r="M21" i="14"/>
  <c r="L21" i="14"/>
  <c r="K21" i="14"/>
  <c r="J21" i="14"/>
  <c r="I21" i="14"/>
  <c r="X20" i="14"/>
  <c r="W20" i="14"/>
  <c r="V20" i="14"/>
  <c r="U20" i="14"/>
  <c r="T20" i="14"/>
  <c r="S20" i="14"/>
  <c r="R20" i="14"/>
  <c r="Q20" i="14"/>
  <c r="Q19" i="14" s="1"/>
  <c r="Q18" i="14" s="1"/>
  <c r="P20" i="14"/>
  <c r="O20" i="14"/>
  <c r="O19" i="14"/>
  <c r="O18" i="14"/>
  <c r="N20" i="14"/>
  <c r="M20" i="14"/>
  <c r="M19" i="14"/>
  <c r="M18" i="14"/>
  <c r="L20" i="14"/>
  <c r="L19" i="14"/>
  <c r="L18" i="14"/>
  <c r="K20" i="14"/>
  <c r="K19" i="14" s="1"/>
  <c r="K18" i="14" s="1"/>
  <c r="J20" i="14"/>
  <c r="J19" i="14" s="1"/>
  <c r="I20" i="14"/>
  <c r="X19" i="14"/>
  <c r="W19" i="14"/>
  <c r="V19" i="14"/>
  <c r="U19" i="14"/>
  <c r="T19" i="14"/>
  <c r="S19" i="14"/>
  <c r="S18" i="14"/>
  <c r="R19" i="14"/>
  <c r="R18" i="14"/>
  <c r="P19" i="14"/>
  <c r="P18" i="14"/>
  <c r="N19" i="14"/>
  <c r="X18" i="14"/>
  <c r="W18" i="14"/>
  <c r="V18" i="14"/>
  <c r="U18" i="14"/>
  <c r="T18" i="14"/>
  <c r="N18" i="14"/>
  <c r="X17" i="14"/>
  <c r="W17" i="14"/>
  <c r="V17" i="14"/>
  <c r="U17" i="14"/>
  <c r="T17" i="14"/>
  <c r="S17" i="14"/>
  <c r="R17" i="14"/>
  <c r="Q17" i="14"/>
  <c r="P17" i="14"/>
  <c r="O17" i="14"/>
  <c r="N17" i="14"/>
  <c r="M17" i="14"/>
  <c r="L17" i="14"/>
  <c r="K17" i="14"/>
  <c r="J17" i="14"/>
  <c r="I17" i="14"/>
  <c r="X16" i="14"/>
  <c r="W16" i="14"/>
  <c r="V16" i="14"/>
  <c r="U16" i="14"/>
  <c r="T16" i="14"/>
  <c r="S16" i="14"/>
  <c r="R16" i="14"/>
  <c r="Q16" i="14"/>
  <c r="P16" i="14"/>
  <c r="O16" i="14"/>
  <c r="N16" i="14"/>
  <c r="M16" i="14"/>
  <c r="L16" i="14"/>
  <c r="K16" i="14"/>
  <c r="J16" i="14"/>
  <c r="I16" i="14"/>
  <c r="X15" i="14"/>
  <c r="W15" i="14"/>
  <c r="V15" i="14"/>
  <c r="U15" i="14"/>
  <c r="T15" i="14"/>
  <c r="S15" i="14"/>
  <c r="S14" i="14" s="1"/>
  <c r="S56" i="14" s="1"/>
  <c r="S80" i="14" s="1"/>
  <c r="R15" i="14"/>
  <c r="R14" i="14" s="1"/>
  <c r="R56" i="14" s="1"/>
  <c r="Q15" i="14"/>
  <c r="Q14" i="14"/>
  <c r="Q56" i="14"/>
  <c r="Q80" i="14"/>
  <c r="P15" i="14"/>
  <c r="P14" i="14"/>
  <c r="P56" i="14"/>
  <c r="O15" i="14"/>
  <c r="N15" i="14"/>
  <c r="N14" i="14"/>
  <c r="M15" i="14"/>
  <c r="L15" i="14"/>
  <c r="K15" i="14"/>
  <c r="K14" i="14" s="1"/>
  <c r="J15" i="14"/>
  <c r="I15" i="14"/>
  <c r="X14" i="14"/>
  <c r="X56" i="14"/>
  <c r="W14" i="14"/>
  <c r="W56" i="14"/>
  <c r="V14" i="14"/>
  <c r="V56" i="14"/>
  <c r="T14" i="14"/>
  <c r="T56" i="14"/>
  <c r="O34" i="14"/>
  <c r="J68" i="14"/>
  <c r="N9" i="14" s="1"/>
  <c r="I68" i="14"/>
  <c r="I69" i="14"/>
  <c r="U14" i="14"/>
  <c r="U56" i="14"/>
  <c r="U80" i="14"/>
  <c r="K35" i="14"/>
  <c r="L14" i="14"/>
  <c r="L56" i="14"/>
  <c r="L80" i="14"/>
  <c r="I44" i="14"/>
  <c r="J59" i="14"/>
  <c r="N8" i="14" s="1"/>
  <c r="M14" i="14"/>
  <c r="K78" i="14"/>
  <c r="V60" i="14"/>
  <c r="V59" i="14"/>
  <c r="V78" i="14"/>
  <c r="V80" i="14"/>
  <c r="I62" i="14"/>
  <c r="W80" i="14"/>
  <c r="X80" i="14"/>
  <c r="I19" i="14"/>
  <c r="J18" i="14"/>
  <c r="M35" i="14"/>
  <c r="M34" i="14"/>
  <c r="M56" i="14" s="1"/>
  <c r="M80" i="14" s="1"/>
  <c r="N56" i="14"/>
  <c r="N80" i="14"/>
  <c r="I51" i="14"/>
  <c r="R78" i="14"/>
  <c r="R80" i="14" s="1"/>
  <c r="O14" i="14"/>
  <c r="O56" i="14"/>
  <c r="O80" i="14"/>
  <c r="I28" i="14"/>
  <c r="T78" i="14"/>
  <c r="T80" i="14"/>
  <c r="P80" i="14"/>
  <c r="I64" i="14"/>
  <c r="I60" i="14"/>
  <c r="K34" i="14"/>
  <c r="I35" i="14"/>
  <c r="I18" i="14"/>
  <c r="J14" i="14"/>
  <c r="M8" i="14" s="1"/>
  <c r="O8" i="14" s="1"/>
  <c r="I59" i="14"/>
  <c r="J78" i="14"/>
  <c r="I78" i="14"/>
  <c r="J56" i="14"/>
  <c r="I14" i="14"/>
  <c r="I34" i="14"/>
  <c r="K56" i="14"/>
  <c r="K80" i="14"/>
  <c r="J80" i="14"/>
  <c r="J82" i="14"/>
  <c r="K82" i="14"/>
  <c r="L82" i="14"/>
  <c r="M82" i="14"/>
  <c r="N82" i="14"/>
  <c r="O82" i="14"/>
  <c r="P82" i="14"/>
  <c r="Q82" i="14"/>
  <c r="R82" i="14"/>
  <c r="S82" i="14"/>
  <c r="T82" i="14"/>
  <c r="U82" i="14"/>
  <c r="V82" i="14"/>
  <c r="W82" i="14"/>
  <c r="X82" i="14"/>
  <c r="I56" i="14"/>
  <c r="I82" i="15"/>
  <c r="I76" i="15"/>
  <c r="I75" i="15"/>
  <c r="I74" i="15"/>
  <c r="I73" i="15"/>
  <c r="X72" i="15"/>
  <c r="X69" i="15"/>
  <c r="X68" i="15"/>
  <c r="W72" i="15"/>
  <c r="W69" i="15"/>
  <c r="W68" i="15"/>
  <c r="V72" i="15"/>
  <c r="U72" i="15"/>
  <c r="T72" i="15"/>
  <c r="S72" i="15"/>
  <c r="R72" i="15"/>
  <c r="Q72" i="15"/>
  <c r="P72" i="15"/>
  <c r="O72" i="15"/>
  <c r="N72" i="15"/>
  <c r="M72" i="15"/>
  <c r="M69" i="15"/>
  <c r="M68" i="15"/>
  <c r="L72" i="15"/>
  <c r="K72" i="15"/>
  <c r="J72" i="15"/>
  <c r="I72" i="15" s="1"/>
  <c r="I71" i="15"/>
  <c r="I70" i="15"/>
  <c r="V69" i="15"/>
  <c r="U69" i="15"/>
  <c r="T69" i="15"/>
  <c r="T68" i="15"/>
  <c r="S69" i="15"/>
  <c r="S68" i="15"/>
  <c r="R69" i="15"/>
  <c r="Q69" i="15"/>
  <c r="P69" i="15"/>
  <c r="P68" i="15"/>
  <c r="O69" i="15"/>
  <c r="O68" i="15"/>
  <c r="N69" i="15"/>
  <c r="N68" i="15"/>
  <c r="K69" i="15"/>
  <c r="J69" i="15"/>
  <c r="J68" i="15"/>
  <c r="V68" i="15"/>
  <c r="U68" i="15"/>
  <c r="R68" i="15"/>
  <c r="Q68" i="15"/>
  <c r="K68" i="15"/>
  <c r="I66" i="15"/>
  <c r="I65" i="15"/>
  <c r="I64" i="15"/>
  <c r="I63" i="15"/>
  <c r="X62" i="15"/>
  <c r="W62" i="15"/>
  <c r="V62" i="15"/>
  <c r="U62" i="15"/>
  <c r="T62" i="15"/>
  <c r="S62" i="15"/>
  <c r="R62" i="15"/>
  <c r="R60" i="15"/>
  <c r="R59" i="15"/>
  <c r="R78" i="15"/>
  <c r="Q62" i="15"/>
  <c r="Q60" i="15"/>
  <c r="Q59" i="15"/>
  <c r="Q78" i="15"/>
  <c r="P62" i="15"/>
  <c r="O62" i="15"/>
  <c r="N62" i="15"/>
  <c r="M62" i="15"/>
  <c r="M60" i="15"/>
  <c r="L62" i="15"/>
  <c r="K62" i="15"/>
  <c r="J62" i="15"/>
  <c r="I61" i="15"/>
  <c r="X60" i="15"/>
  <c r="X59" i="15"/>
  <c r="X78" i="15"/>
  <c r="W60" i="15"/>
  <c r="W59" i="15"/>
  <c r="W78" i="15"/>
  <c r="V60" i="15"/>
  <c r="V59" i="15"/>
  <c r="V78" i="15"/>
  <c r="U60" i="15"/>
  <c r="U59" i="15"/>
  <c r="U78" i="15"/>
  <c r="T60" i="15"/>
  <c r="T59" i="15"/>
  <c r="T78" i="15"/>
  <c r="S60" i="15"/>
  <c r="P60" i="15"/>
  <c r="P59" i="15"/>
  <c r="O60" i="15"/>
  <c r="O59" i="15"/>
  <c r="N60" i="15"/>
  <c r="N59" i="15"/>
  <c r="L60" i="15"/>
  <c r="K60" i="15"/>
  <c r="J60" i="15"/>
  <c r="J59" i="15"/>
  <c r="S59" i="15"/>
  <c r="L59" i="15"/>
  <c r="K59" i="15"/>
  <c r="K78" i="15" s="1"/>
  <c r="I54" i="15"/>
  <c r="I53" i="15"/>
  <c r="I52" i="15"/>
  <c r="X51" i="15"/>
  <c r="W51" i="15"/>
  <c r="V51" i="15"/>
  <c r="U51" i="15"/>
  <c r="T51" i="15"/>
  <c r="S51" i="15"/>
  <c r="R51" i="15"/>
  <c r="Q51" i="15"/>
  <c r="P51" i="15"/>
  <c r="O51" i="15"/>
  <c r="N51" i="15"/>
  <c r="M51" i="15"/>
  <c r="L51" i="15"/>
  <c r="K51" i="15"/>
  <c r="J51" i="15"/>
  <c r="I51" i="15" s="1"/>
  <c r="I50" i="15"/>
  <c r="I49" i="15"/>
  <c r="X48" i="15"/>
  <c r="W48" i="15"/>
  <c r="V48" i="15"/>
  <c r="U48" i="15"/>
  <c r="T48" i="15"/>
  <c r="S48" i="15"/>
  <c r="R48" i="15"/>
  <c r="Q48" i="15"/>
  <c r="P48" i="15"/>
  <c r="O48" i="15"/>
  <c r="N48" i="15"/>
  <c r="M48" i="15"/>
  <c r="L48" i="15"/>
  <c r="K48" i="15"/>
  <c r="J48" i="15"/>
  <c r="I48" i="15" s="1"/>
  <c r="I47" i="15"/>
  <c r="I46" i="15"/>
  <c r="I45" i="15"/>
  <c r="X44" i="15"/>
  <c r="W44" i="15"/>
  <c r="V44" i="15"/>
  <c r="U44" i="15"/>
  <c r="T44" i="15"/>
  <c r="S44" i="15"/>
  <c r="R44" i="15"/>
  <c r="Q44" i="15"/>
  <c r="P44" i="15"/>
  <c r="O44" i="15"/>
  <c r="N44" i="15"/>
  <c r="M44" i="15"/>
  <c r="L44" i="15"/>
  <c r="K44" i="15"/>
  <c r="J44" i="15"/>
  <c r="I44" i="15" s="1"/>
  <c r="S43" i="15"/>
  <c r="N43" i="15"/>
  <c r="L43" i="15"/>
  <c r="I43" i="15"/>
  <c r="I42" i="15"/>
  <c r="I41" i="15"/>
  <c r="I40" i="15"/>
  <c r="I39" i="15"/>
  <c r="X38" i="15"/>
  <c r="W38" i="15"/>
  <c r="V38" i="15"/>
  <c r="U38" i="15"/>
  <c r="U35" i="15"/>
  <c r="U34" i="15"/>
  <c r="T38" i="15"/>
  <c r="T35" i="15"/>
  <c r="T34" i="15"/>
  <c r="S38" i="15"/>
  <c r="S35" i="15"/>
  <c r="S34" i="15"/>
  <c r="R38" i="15"/>
  <c r="Q38" i="15"/>
  <c r="P38" i="15"/>
  <c r="P35" i="15"/>
  <c r="P34" i="15"/>
  <c r="O38" i="15"/>
  <c r="O35" i="15"/>
  <c r="O34" i="15"/>
  <c r="N38" i="15"/>
  <c r="N35" i="15"/>
  <c r="M38" i="15"/>
  <c r="L38" i="15"/>
  <c r="K38" i="15"/>
  <c r="J38" i="15"/>
  <c r="I37" i="15"/>
  <c r="J36" i="15"/>
  <c r="I36" i="15"/>
  <c r="X35" i="15"/>
  <c r="X34" i="15"/>
  <c r="W35" i="15"/>
  <c r="W34" i="15"/>
  <c r="V35" i="15"/>
  <c r="R35" i="15"/>
  <c r="R34" i="15"/>
  <c r="Q35" i="15"/>
  <c r="Q34" i="15"/>
  <c r="M35" i="15"/>
  <c r="M34" i="15"/>
  <c r="L35" i="15"/>
  <c r="L34" i="15" s="1"/>
  <c r="K35" i="15"/>
  <c r="K34" i="15"/>
  <c r="J35" i="15"/>
  <c r="J34" i="15"/>
  <c r="V34" i="15"/>
  <c r="I31" i="15"/>
  <c r="I30" i="15"/>
  <c r="I29" i="15"/>
  <c r="X28" i="15"/>
  <c r="W28" i="15"/>
  <c r="V28" i="15"/>
  <c r="U28" i="15"/>
  <c r="T28" i="15"/>
  <c r="S28" i="15"/>
  <c r="R28" i="15"/>
  <c r="Q28" i="15"/>
  <c r="P28" i="15"/>
  <c r="O28" i="15"/>
  <c r="N28" i="15"/>
  <c r="M28" i="15"/>
  <c r="L28" i="15"/>
  <c r="K28" i="15"/>
  <c r="J28" i="15"/>
  <c r="I28" i="15"/>
  <c r="I27" i="15"/>
  <c r="I26" i="15"/>
  <c r="X25" i="15"/>
  <c r="W25" i="15"/>
  <c r="V25" i="15"/>
  <c r="U25" i="15"/>
  <c r="T25" i="15"/>
  <c r="S25" i="15"/>
  <c r="R25" i="15"/>
  <c r="Q25" i="15"/>
  <c r="P25" i="15"/>
  <c r="O25" i="15"/>
  <c r="N25" i="15"/>
  <c r="M25" i="15"/>
  <c r="L25" i="15"/>
  <c r="K25" i="15"/>
  <c r="J25" i="15"/>
  <c r="I25" i="15" s="1"/>
  <c r="I24" i="15"/>
  <c r="W23" i="15"/>
  <c r="I23" i="15"/>
  <c r="I22" i="15"/>
  <c r="I21" i="15"/>
  <c r="X20" i="15"/>
  <c r="W20" i="15"/>
  <c r="W19" i="15"/>
  <c r="W18" i="15"/>
  <c r="W14" i="15"/>
  <c r="W56" i="15"/>
  <c r="W80" i="15"/>
  <c r="N20" i="15"/>
  <c r="M20" i="15"/>
  <c r="L20" i="15"/>
  <c r="K20" i="15"/>
  <c r="K19" i="15"/>
  <c r="J20" i="15"/>
  <c r="I20" i="15"/>
  <c r="X19" i="15"/>
  <c r="X18" i="15"/>
  <c r="V19" i="15"/>
  <c r="U19" i="15"/>
  <c r="T19" i="15"/>
  <c r="S19" i="15"/>
  <c r="R19" i="15"/>
  <c r="Q19" i="15"/>
  <c r="P19" i="15"/>
  <c r="O19" i="15"/>
  <c r="N19" i="15"/>
  <c r="N18" i="15"/>
  <c r="N14" i="15"/>
  <c r="M19" i="15"/>
  <c r="M18" i="15"/>
  <c r="M14" i="15"/>
  <c r="M56" i="15"/>
  <c r="L19" i="15"/>
  <c r="L18" i="15"/>
  <c r="L14" i="15"/>
  <c r="L56" i="15"/>
  <c r="J19" i="15"/>
  <c r="J18" i="15"/>
  <c r="V18" i="15"/>
  <c r="V14" i="15"/>
  <c r="V56" i="15"/>
  <c r="V80" i="15"/>
  <c r="U18" i="15"/>
  <c r="U14" i="15" s="1"/>
  <c r="T18" i="15"/>
  <c r="T14" i="15" s="1"/>
  <c r="S18" i="15"/>
  <c r="R18" i="15"/>
  <c r="Q18" i="15"/>
  <c r="P18" i="15"/>
  <c r="O18" i="15"/>
  <c r="I17" i="15"/>
  <c r="X16" i="15"/>
  <c r="X14" i="15" s="1"/>
  <c r="I16" i="15"/>
  <c r="I15" i="15"/>
  <c r="S14" i="15"/>
  <c r="S56" i="15" s="1"/>
  <c r="R14" i="15"/>
  <c r="R56" i="15"/>
  <c r="R80" i="15"/>
  <c r="Q14" i="15"/>
  <c r="Q56" i="15"/>
  <c r="Q80" i="15"/>
  <c r="P14" i="15"/>
  <c r="P56" i="15"/>
  <c r="O14" i="15"/>
  <c r="O56" i="15"/>
  <c r="I35" i="15"/>
  <c r="N34" i="15"/>
  <c r="N56" i="15"/>
  <c r="M59" i="15"/>
  <c r="M78" i="15"/>
  <c r="I60" i="15"/>
  <c r="I34" i="15"/>
  <c r="J14" i="15"/>
  <c r="M80" i="15"/>
  <c r="T56" i="15"/>
  <c r="T80" i="15"/>
  <c r="U56" i="15"/>
  <c r="U80" i="15"/>
  <c r="S78" i="15"/>
  <c r="S80" i="15"/>
  <c r="I59" i="15"/>
  <c r="J78" i="15"/>
  <c r="X56" i="15"/>
  <c r="X80" i="15"/>
  <c r="N78" i="15"/>
  <c r="N80" i="15" s="1"/>
  <c r="O78" i="15"/>
  <c r="O80" i="15" s="1"/>
  <c r="K18" i="15"/>
  <c r="I18" i="15" s="1"/>
  <c r="K14" i="15"/>
  <c r="K56" i="15"/>
  <c r="K80" i="15"/>
  <c r="I19" i="15"/>
  <c r="P78" i="15"/>
  <c r="P80" i="15"/>
  <c r="I62" i="15"/>
  <c r="I38" i="15"/>
  <c r="L69" i="15"/>
  <c r="L68" i="15"/>
  <c r="I69" i="15"/>
  <c r="I14" i="15"/>
  <c r="L9" i="15"/>
  <c r="J56" i="15"/>
  <c r="L78" i="15"/>
  <c r="I68" i="15"/>
  <c r="J80" i="15"/>
  <c r="J82" i="15"/>
  <c r="K82" i="15"/>
  <c r="I56" i="15"/>
  <c r="L80" i="15"/>
  <c r="L82" i="15"/>
  <c r="M82" i="15"/>
  <c r="N82" i="15"/>
  <c r="O82" i="15"/>
  <c r="P82" i="15"/>
  <c r="Q82" i="15"/>
  <c r="R82" i="15"/>
  <c r="S82" i="15"/>
  <c r="T82" i="15"/>
  <c r="U82" i="15"/>
  <c r="V82" i="15"/>
  <c r="W82" i="15"/>
  <c r="X82" i="15"/>
  <c r="I78" i="15"/>
  <c r="AE31" i="14"/>
  <c r="AE30" i="14"/>
  <c r="C10" i="2"/>
  <c r="J10" i="2" s="1"/>
  <c r="C5" i="2"/>
  <c r="J5" i="2" s="1"/>
  <c r="B5" i="2"/>
  <c r="I5" i="2"/>
  <c r="B9" i="2"/>
  <c r="I9" i="2"/>
  <c r="AF17" i="14"/>
  <c r="AH21" i="14"/>
  <c r="AE22" i="14"/>
  <c r="AD30" i="14"/>
  <c r="AF30" i="14" s="1"/>
  <c r="AD31" i="14"/>
  <c r="AF31" i="14"/>
  <c r="AG36" i="14"/>
  <c r="AD40" i="14"/>
  <c r="AE43" i="14"/>
  <c r="AA67" i="14"/>
  <c r="AF76" i="14"/>
  <c r="B8" i="2"/>
  <c r="I8" i="2" s="1"/>
  <c r="B10" i="2"/>
  <c r="I10" i="2" s="1"/>
  <c r="AE40" i="14"/>
  <c r="AF40" i="14" s="1"/>
  <c r="AF22" i="14"/>
  <c r="AG22" i="14"/>
  <c r="AF43" i="14"/>
  <c r="AI21" i="14"/>
  <c r="AJ21" i="14"/>
  <c r="AG43" i="14"/>
  <c r="D10" i="2"/>
  <c r="J8" i="15" l="1"/>
  <c r="J9" i="15"/>
  <c r="C6" i="2" s="1"/>
  <c r="J9" i="14"/>
  <c r="M9" i="14"/>
  <c r="O9" i="14" s="1"/>
  <c r="I78" i="13"/>
  <c r="K9" i="13"/>
  <c r="N9" i="12"/>
  <c r="E10" i="2"/>
  <c r="E5" i="2"/>
  <c r="D5" i="2"/>
  <c r="C9" i="2" l="1"/>
  <c r="O8" i="12"/>
  <c r="C8" i="2"/>
  <c r="L8" i="13"/>
  <c r="J8" i="14"/>
  <c r="C7" i="2" s="1"/>
  <c r="J7" i="2" s="1"/>
  <c r="Q8" i="14"/>
  <c r="L9" i="14"/>
  <c r="K9" i="14"/>
  <c r="B7" i="2"/>
  <c r="C17" i="2"/>
  <c r="J6" i="2"/>
  <c r="K8" i="15"/>
  <c r="B6" i="2"/>
  <c r="M10" i="2"/>
  <c r="G10" i="2"/>
  <c r="G5" i="2"/>
  <c r="M5" i="2"/>
  <c r="I6" i="2" l="1"/>
  <c r="B17" i="2"/>
  <c r="D6" i="2"/>
  <c r="E6" i="2"/>
  <c r="E7" i="2"/>
  <c r="D7" i="2"/>
  <c r="I7" i="2"/>
  <c r="J8" i="2"/>
  <c r="E8" i="2"/>
  <c r="D8" i="2"/>
  <c r="E9" i="2"/>
  <c r="D9" i="2"/>
  <c r="J9" i="2"/>
  <c r="M9" i="2" l="1"/>
  <c r="G9" i="2"/>
  <c r="M8" i="2"/>
  <c r="G8" i="2"/>
  <c r="G7" i="2"/>
  <c r="M7" i="2"/>
  <c r="G6" i="2"/>
  <c r="M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Q10" authorId="0" shapeId="0" xr:uid="{00000000-0006-0000-0200-000001000000}">
      <text>
        <r>
          <rPr>
            <sz val="11"/>
            <color indexed="81"/>
            <rFont val="Tahoma"/>
            <family val="2"/>
          </rPr>
          <t>for time bucket &gt; 12 months divided into these new time buckets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P11" authorId="0" shapeId="0" xr:uid="{00000000-0006-0000-0300-000001000000}">
      <text>
        <r>
          <rPr>
            <sz val="11"/>
            <color indexed="8"/>
            <rFont val="Tahoma"/>
            <family val="2"/>
          </rPr>
          <t>for time bucket &gt; 12 months divided into these new time buckets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Yulius Emerson</author>
    <author>Zuliyana Zuliyana</author>
  </authors>
  <commentList>
    <comment ref="I28" authorId="0" shapeId="0" xr:uid="{00000000-0006-0000-0600-000001000000}">
      <text>
        <r>
          <rPr>
            <b/>
            <sz val="9"/>
            <color indexed="81"/>
            <rFont val="Tahoma"/>
            <family val="2"/>
          </rPr>
          <t>Raditya:</t>
        </r>
        <r>
          <rPr>
            <sz val="9"/>
            <color indexed="81"/>
            <rFont val="Tahoma"/>
            <family val="2"/>
          </rPr>
          <t xml:space="preserve">
Bill &amp; Loan</t>
        </r>
      </text>
    </comment>
    <comment ref="I33" authorId="1" shapeId="0" xr:uid="{00000000-0006-0000-0600-000002000000}">
      <text>
        <r>
          <rPr>
            <sz val="9"/>
            <color indexed="81"/>
            <rFont val="Tahoma"/>
            <family val="2"/>
          </rPr>
          <t xml:space="preserve">Interest Income rcvable &amp; Prepaid of Interest Expense
</t>
        </r>
      </text>
    </comment>
    <comment ref="I56" authorId="1" shapeId="0" xr:uid="{00000000-0006-0000-0600-000003000000}">
      <text>
        <r>
          <rPr>
            <sz val="9"/>
            <color indexed="81"/>
            <rFont val="Tahoma"/>
            <family val="2"/>
          </rPr>
          <t>Acc. Int expense and deffered expense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YOSHIKAWA Reiko</author>
    <author>SAWADA Yuriko</author>
  </authors>
  <commentList>
    <comment ref="P11" authorId="0" shapeId="0" xr:uid="{00000000-0006-0000-0700-000001000000}">
      <text>
        <r>
          <rPr>
            <sz val="11"/>
            <color indexed="81"/>
            <rFont val="Tahoma"/>
            <family val="2"/>
          </rPr>
          <t>for time bucket &gt; 12 months divided into these new time buckets</t>
        </r>
      </text>
    </comment>
    <comment ref="G23" authorId="1" shapeId="0" xr:uid="{00000000-0006-0000-0700-000002000000}">
      <text>
        <r>
          <rPr>
            <b/>
            <sz val="9"/>
            <color indexed="81"/>
            <rFont val="ＭＳ Ｐゴシック"/>
            <family val="3"/>
            <charset val="128"/>
          </rPr>
          <t>AFS</t>
        </r>
        <r>
          <rPr>
            <sz val="9"/>
            <color indexed="81"/>
            <rFont val="ＭＳ Ｐゴシック"/>
            <family val="3"/>
            <charset val="128"/>
          </rPr>
          <t xml:space="preserve">
</t>
        </r>
      </text>
    </comment>
    <comment ref="P23" authorId="2" shapeId="0" xr:uid="{00000000-0006-0000-0700-000003000000}">
      <text>
        <r>
          <rPr>
            <b/>
            <sz val="9"/>
            <color indexed="81"/>
            <rFont val="ＭＳ Ｐゴシック"/>
            <family val="3"/>
            <charset val="128"/>
          </rPr>
          <t>F1との差額はこちらで調整します。</t>
        </r>
      </text>
    </comment>
    <comment ref="G24" authorId="1" shapeId="0" xr:uid="{00000000-0006-0000-0700-000004000000}">
      <text>
        <r>
          <rPr>
            <sz val="9"/>
            <color indexed="81"/>
            <rFont val="ＭＳ Ｐゴシック"/>
            <family val="3"/>
            <charset val="128"/>
          </rPr>
          <t xml:space="preserve">HTM
</t>
        </r>
      </text>
    </comment>
    <comment ref="P24" authorId="2" shapeId="0" xr:uid="{00000000-0006-0000-0700-000005000000}">
      <text>
        <r>
          <rPr>
            <b/>
            <sz val="9"/>
            <color indexed="81"/>
            <rFont val="ＭＳ Ｐゴシック"/>
            <family val="3"/>
            <charset val="128"/>
          </rPr>
          <t>F1との差額はこちらで調整します。</t>
        </r>
      </text>
    </comment>
    <comment ref="J28" authorId="1" shapeId="0" xr:uid="{00000000-0006-0000-0700-000006000000}">
      <text>
        <r>
          <rPr>
            <sz val="9"/>
            <color indexed="81"/>
            <rFont val="ＭＳ Ｐゴシック"/>
            <family val="3"/>
            <charset val="128"/>
          </rPr>
          <t xml:space="preserve">A/C 1418
</t>
        </r>
      </text>
    </comment>
    <comment ref="P33" authorId="1" shapeId="0" xr:uid="{00000000-0006-0000-0700-000007000000}">
      <text>
        <r>
          <rPr>
            <b/>
            <sz val="9"/>
            <color indexed="81"/>
            <rFont val="ＭＳ Ｐゴシック"/>
            <family val="3"/>
            <charset val="128"/>
          </rPr>
          <t>pepaid expense &amp; defferd chg</t>
        </r>
        <r>
          <rPr>
            <sz val="9"/>
            <color indexed="81"/>
            <rFont val="ＭＳ Ｐゴシック"/>
            <family val="3"/>
            <charset val="128"/>
          </rPr>
          <t xml:space="preserve">
</t>
        </r>
      </text>
    </comment>
    <comment ref="E38" authorId="1" shapeId="0" xr:uid="{00000000-0006-0000-0700-000008000000}">
      <text>
        <r>
          <rPr>
            <b/>
            <sz val="9"/>
            <color indexed="81"/>
            <rFont val="ＭＳ Ｐゴシック"/>
            <family val="3"/>
            <charset val="128"/>
          </rPr>
          <t>CURRENT ACCOUNT</t>
        </r>
      </text>
    </comment>
    <comment ref="G38" authorId="1" shapeId="0" xr:uid="{00000000-0006-0000-0700-000009000000}">
      <text>
        <r>
          <rPr>
            <b/>
            <sz val="9"/>
            <color indexed="81"/>
            <rFont val="ＭＳ Ｐゴシック"/>
            <family val="3"/>
            <charset val="128"/>
          </rPr>
          <t>YOSHIKAWA Reiko:</t>
        </r>
        <r>
          <rPr>
            <sz val="9"/>
            <color indexed="81"/>
            <rFont val="ＭＳ Ｐゴシック"/>
            <family val="3"/>
            <charset val="128"/>
          </rPr>
          <t xml:space="preserve">
GL CODE: 210001</t>
        </r>
      </text>
    </comment>
    <comment ref="E39" authorId="1" shapeId="0" xr:uid="{00000000-0006-0000-0700-00000A000000}">
      <text>
        <r>
          <rPr>
            <b/>
            <sz val="9"/>
            <color indexed="81"/>
            <rFont val="ＭＳ Ｐゴシック"/>
            <family val="3"/>
            <charset val="128"/>
          </rPr>
          <t>SAVING ACCOUNT</t>
        </r>
        <r>
          <rPr>
            <sz val="9"/>
            <color indexed="81"/>
            <rFont val="ＭＳ Ｐゴシック"/>
            <family val="3"/>
            <charset val="128"/>
          </rPr>
          <t xml:space="preserve">
 &amp; Due to Banks</t>
        </r>
      </text>
    </comment>
    <comment ref="G39" authorId="1" shapeId="0" xr:uid="{00000000-0006-0000-0700-00000B000000}">
      <text>
        <r>
          <rPr>
            <b/>
            <sz val="9"/>
            <color indexed="81"/>
            <rFont val="ＭＳ Ｐゴシック"/>
            <family val="3"/>
            <charset val="128"/>
          </rPr>
          <t>INTEROFFICE OVERSEAS &amp; SAVINGS</t>
        </r>
      </text>
    </comment>
    <comment ref="F42" authorId="1" shapeId="0" xr:uid="{00000000-0006-0000-0700-00000C000000}">
      <text>
        <r>
          <rPr>
            <b/>
            <sz val="9"/>
            <color indexed="81"/>
            <rFont val="ＭＳ Ｐゴシック"/>
            <family val="3"/>
            <charset val="128"/>
          </rPr>
          <t>TIME DEPOSIT</t>
        </r>
      </text>
    </comment>
    <comment ref="D45" authorId="1" shapeId="0" xr:uid="{00000000-0006-0000-0700-00000D000000}">
      <text>
        <r>
          <rPr>
            <b/>
            <sz val="9"/>
            <color indexed="81"/>
            <rFont val="ＭＳ Ｐゴシック"/>
            <family val="3"/>
            <charset val="128"/>
          </rPr>
          <t xml:space="preserve">Liabilities to Other Banks
</t>
        </r>
        <r>
          <rPr>
            <sz val="9"/>
            <color indexed="81"/>
            <rFont val="ＭＳ Ｐゴシック"/>
            <family val="3"/>
            <charset val="128"/>
          </rPr>
          <t xml:space="preserve">
</t>
        </r>
      </text>
    </comment>
    <comment ref="P45" authorId="1" shapeId="0" xr:uid="{00000000-0006-0000-0700-00000E000000}">
      <text>
        <r>
          <rPr>
            <sz val="9"/>
            <color indexed="81"/>
            <rFont val="ＭＳ Ｐゴシック"/>
            <family val="3"/>
            <charset val="128"/>
          </rPr>
          <t>&gt;1y to 2y and
Maturity date within 1 month (R/O) and
(DAN) Deposit At Notice
A ACOUNT</t>
        </r>
      </text>
    </comment>
    <comment ref="D46" authorId="1" shapeId="0" xr:uid="{00000000-0006-0000-0700-00000F000000}">
      <text>
        <r>
          <rPr>
            <b/>
            <sz val="9"/>
            <color indexed="81"/>
            <rFont val="ＭＳ Ｐゴシック"/>
            <family val="3"/>
            <charset val="128"/>
          </rPr>
          <t xml:space="preserve">Liabilities to Other Banks
</t>
        </r>
        <r>
          <rPr>
            <sz val="9"/>
            <color indexed="81"/>
            <rFont val="ＭＳ Ｐゴシック"/>
            <family val="3"/>
            <charset val="128"/>
          </rPr>
          <t xml:space="preserve">
</t>
        </r>
      </text>
    </comment>
    <comment ref="P46" authorId="1" shapeId="0" xr:uid="{00000000-0006-0000-0700-000010000000}">
      <text>
        <r>
          <rPr>
            <sz val="9"/>
            <color indexed="81"/>
            <rFont val="ＭＳ Ｐゴシック"/>
            <family val="3"/>
            <charset val="128"/>
          </rPr>
          <t>&gt;1y to 2y and
Maturity date within 1 month (R/O) and
(DAN) Deposit At Notice
A ACOUNT</t>
        </r>
      </text>
    </comment>
    <comment ref="P56" authorId="1" shapeId="0" xr:uid="{00000000-0006-0000-0700-000011000000}">
      <text>
        <r>
          <rPr>
            <sz val="9"/>
            <color indexed="81"/>
            <rFont val="ＭＳ Ｐゴシック"/>
            <family val="3"/>
            <charset val="128"/>
          </rPr>
          <t xml:space="preserve">&gt;1y to 2y and
Maturity date within 1 month (R/O) and
(DAN) Deposit At Notice
</t>
        </r>
      </text>
    </comment>
  </commentList>
</comments>
</file>

<file path=xl/sharedStrings.xml><?xml version="1.0" encoding="utf-8"?>
<sst xmlns="http://schemas.openxmlformats.org/spreadsheetml/2006/main" count="1446" uniqueCount="338">
  <si>
    <t>DAFTAR RINCIAN</t>
  </si>
  <si>
    <t>1. Profil Maturitas</t>
  </si>
  <si>
    <t>dalam Ribuan USD</t>
  </si>
  <si>
    <t>Aset</t>
  </si>
  <si>
    <t>Kewajiban</t>
  </si>
  <si>
    <t>Selisih</t>
  </si>
  <si>
    <t>Profil Maturitas</t>
  </si>
  <si>
    <t>Reserve Requirement</t>
  </si>
  <si>
    <t>Traffic Light</t>
  </si>
  <si>
    <t xml:space="preserve">Hongkong </t>
  </si>
  <si>
    <t>OK</t>
  </si>
  <si>
    <t>=</t>
  </si>
  <si>
    <t>London</t>
  </si>
  <si>
    <t>New York</t>
  </si>
  <si>
    <t>Seoul</t>
  </si>
  <si>
    <t>Singapore</t>
  </si>
  <si>
    <t xml:space="preserve">Tokyo </t>
  </si>
  <si>
    <t>Green</t>
  </si>
  <si>
    <t>A</t>
  </si>
  <si>
    <t>B</t>
  </si>
  <si>
    <t>C</t>
  </si>
  <si>
    <t>D</t>
  </si>
  <si>
    <t>E</t>
  </si>
  <si>
    <t>F</t>
  </si>
  <si>
    <t>G</t>
  </si>
  <si>
    <t>H</t>
  </si>
  <si>
    <t>I</t>
  </si>
  <si>
    <t>J</t>
  </si>
  <si>
    <t>K</t>
  </si>
  <si>
    <t>L</t>
  </si>
  <si>
    <t>M</t>
  </si>
  <si>
    <t>N</t>
  </si>
  <si>
    <t>Q</t>
  </si>
  <si>
    <t>R</t>
  </si>
  <si>
    <t>S</t>
  </si>
  <si>
    <t>LAPORAN PROFIL MATURITAS</t>
  </si>
  <si>
    <t>Periode 30 Jun 2026</t>
  </si>
  <si>
    <t>Periode 31 Maret 2012</t>
  </si>
  <si>
    <t>(All)</t>
  </si>
  <si>
    <t>(ekuivalen dalam ribuan USD)</t>
  </si>
  <si>
    <t>Pos-Pos</t>
  </si>
  <si>
    <t>Balance</t>
  </si>
  <si>
    <r>
      <t>Jatuh Tempo*</t>
    </r>
    <r>
      <rPr>
        <b/>
        <sz val="26"/>
        <color indexed="8"/>
        <rFont val="Arial"/>
        <family val="2"/>
      </rPr>
      <t>)</t>
    </r>
  </si>
  <si>
    <t>Unit in Charge</t>
  </si>
  <si>
    <t>Keterangan</t>
  </si>
  <si>
    <t>Items</t>
  </si>
  <si>
    <t>Mapping</t>
  </si>
  <si>
    <t>s.d 1 minggu</t>
  </si>
  <si>
    <t>&gt; 1 minggu s.d 2 minggu</t>
  </si>
  <si>
    <t>&gt; 2 minggu  s.d. 1 bulan</t>
  </si>
  <si>
    <t>&gt; 1 bln s.d 3 bln</t>
  </si>
  <si>
    <t>&gt; 3 bln s.d 6 bln</t>
  </si>
  <si>
    <t>&gt; 6 bln s.d 12 bln</t>
  </si>
  <si>
    <t>&gt; 1 y to 2 y</t>
  </si>
  <si>
    <t>&gt; 2 y to 3 y</t>
  </si>
  <si>
    <t>&gt; 3 y to 4 y</t>
  </si>
  <si>
    <t>&gt; 4 y to 5 y</t>
  </si>
  <si>
    <t>&gt; 5 y to 7 y</t>
  </si>
  <si>
    <t>&gt; 7 y to 10 y</t>
  </si>
  <si>
    <t>&gt; 10 y to 15 y</t>
  </si>
  <si>
    <t>&gt; 15 y to 20 y</t>
  </si>
  <si>
    <t>&gt; 20 y</t>
  </si>
  <si>
    <t xml:space="preserve">AC Balance Not Included </t>
  </si>
  <si>
    <t>I.</t>
  </si>
  <si>
    <t>NERACA</t>
  </si>
  <si>
    <t>A.</t>
  </si>
  <si>
    <t>1.</t>
  </si>
  <si>
    <t>Kas</t>
  </si>
  <si>
    <t>1. Cash on hand</t>
  </si>
  <si>
    <t>AC 100001</t>
  </si>
  <si>
    <t>BAM (TRS)</t>
  </si>
  <si>
    <t>NY, LDN, SGP, HKG, TKO branch</t>
  </si>
  <si>
    <t>cukup jelas</t>
  </si>
  <si>
    <t>2.</t>
  </si>
  <si>
    <t>Penempatan pada Bank Indonesia</t>
  </si>
  <si>
    <t>2. Nostro &amp; Placement in Bank Indonesia</t>
  </si>
  <si>
    <t>N.A.</t>
  </si>
  <si>
    <t>3.</t>
  </si>
  <si>
    <t>Penempatan pada bank lain</t>
  </si>
  <si>
    <t>3. Nostro &amp; Placement in Other Banks</t>
  </si>
  <si>
    <t>AC 102001DR + 102002DR + 210001DR + 110101 + 110103</t>
  </si>
  <si>
    <t>4.</t>
  </si>
  <si>
    <t>Surat Berharga **)</t>
  </si>
  <si>
    <t xml:space="preserve">4. Securities </t>
  </si>
  <si>
    <t>a.</t>
  </si>
  <si>
    <t>Surat berharga korporasi</t>
  </si>
  <si>
    <t>a. Corporate &amp; Bank Securities</t>
  </si>
  <si>
    <t>1)</t>
  </si>
  <si>
    <t>diperdagangkan</t>
  </si>
  <si>
    <t>(1) Trading</t>
  </si>
  <si>
    <t>2)</t>
  </si>
  <si>
    <t>tersedia untuk dijual</t>
  </si>
  <si>
    <t>(2) AFS</t>
  </si>
  <si>
    <t>3)</t>
  </si>
  <si>
    <t>dimiliki hingga jatuh tempo</t>
  </si>
  <si>
    <t>(3) Held-to-Maturity</t>
  </si>
  <si>
    <t>N.A</t>
  </si>
  <si>
    <t>4)</t>
  </si>
  <si>
    <t>pinjaman yang diberikan dan piutang</t>
  </si>
  <si>
    <t>(4) Loans and Receviables</t>
  </si>
  <si>
    <t>b.</t>
  </si>
  <si>
    <t>Lainnya</t>
  </si>
  <si>
    <t>b. Gov &amp; Other Securities</t>
  </si>
  <si>
    <t xml:space="preserve">AC 115127 + 115135 + 115136 + 115183 + 115147 +115155 +115182 + 115181 + 171101 + 179105 (Gov sec only) </t>
  </si>
  <si>
    <t>Surat Berharga yang tidak dapat dimasukkan atau digolongkan ke dalam salah satu dari huruf a dan huruf b.</t>
  </si>
  <si>
    <t>5.</t>
  </si>
  <si>
    <t>Kredit Yang Diberikan</t>
  </si>
  <si>
    <t>5. Loans (Include trade finance loans)</t>
  </si>
  <si>
    <t>belum jatuh tempo</t>
  </si>
  <si>
    <t>a. Current</t>
  </si>
  <si>
    <t xml:space="preserve">AC 140001 + 140003 + 140005 + 140011 </t>
  </si>
  <si>
    <t>diisi sesuai jumlah kredit yang belum jatuh tempo berdasarkan kontrak</t>
  </si>
  <si>
    <t>sudah jatuh tempo ***)</t>
  </si>
  <si>
    <t>b. Overdue</t>
  </si>
  <si>
    <t>Input based on the scheduled repayment agreed by the debtors</t>
  </si>
  <si>
    <t>diisi berdasarkan perkiraan diperolehnya pembayaran atas kredit yang berdasarkan kontrak sudah jatuh tempo.</t>
  </si>
  <si>
    <t>6.</t>
  </si>
  <si>
    <t>Tagihan lainnya</t>
  </si>
  <si>
    <t>6. Other Receivables</t>
  </si>
  <si>
    <t>Tagihan atas Surat Berharga yang dibeli dengan janji dijual kembali (Reverse Repo)</t>
  </si>
  <si>
    <t>a. Reverse Repos</t>
  </si>
  <si>
    <t>b. Others (Bills Receivables + Cash In Transit)</t>
  </si>
  <si>
    <t>AC 120001 + 150004 + 100002</t>
  </si>
  <si>
    <t>Tagihan lainnya yang tidak dapat dimasukkan atau digolongkan ke dalam salah satu dari huruf a.</t>
  </si>
  <si>
    <t>7.</t>
  </si>
  <si>
    <t>Lain-lain (Account Balance not included)  For reconciliation purpose</t>
  </si>
  <si>
    <t>Asset yang tidak dapat dimasukkan atau digolongkan ke dalam salah satu dari pos 1 s.d. 6</t>
  </si>
  <si>
    <t>Total Aset</t>
  </si>
  <si>
    <t>B.</t>
  </si>
  <si>
    <t>Dana Pihak Ketiga</t>
  </si>
  <si>
    <t>1. Customer Deposits</t>
  </si>
  <si>
    <t>Giro</t>
  </si>
  <si>
    <t>a. Current Accounts</t>
  </si>
  <si>
    <t>AC 210001(except Bank)</t>
  </si>
  <si>
    <t>Tabungan</t>
  </si>
  <si>
    <t>b. Savings Accounts</t>
  </si>
  <si>
    <t>AC 210011</t>
  </si>
  <si>
    <t>c.</t>
  </si>
  <si>
    <t>Simpanan Berjangka</t>
  </si>
  <si>
    <t>c. Time Deposits</t>
  </si>
  <si>
    <r>
      <t xml:space="preserve">Deposit </t>
    </r>
    <r>
      <rPr>
        <i/>
        <sz val="24"/>
        <color indexed="8"/>
        <rFont val="Arial"/>
        <family val="2"/>
      </rPr>
      <t>on call</t>
    </r>
  </si>
  <si>
    <t>(1) Deposit at notice</t>
  </si>
  <si>
    <t>Deposito berjangka</t>
  </si>
  <si>
    <t>(2) Time Deposits</t>
  </si>
  <si>
    <t>AC 210031</t>
  </si>
  <si>
    <t>(3) Others</t>
  </si>
  <si>
    <t>Simpanan Berjangka  yang tidak dapat dimasukkan atau digolongkan ke dalam salah satu dari angka 1) dan angka 2)</t>
  </si>
  <si>
    <t>Kewajiban kepada Bank Indonesia</t>
  </si>
  <si>
    <t>2. Laibilities to Bank Indonesia</t>
  </si>
  <si>
    <t>AC 210001</t>
  </si>
  <si>
    <t>Kewajiban kepada bank lain</t>
  </si>
  <si>
    <t>3. Laibilities to Other Banks</t>
  </si>
  <si>
    <t>AC 102001 CR + 210001CR + 2100006CR + 252001 + 252002 + 253001</t>
  </si>
  <si>
    <t>Surat Berharga yang Diterbitkan</t>
  </si>
  <si>
    <t xml:space="preserve">4. Securities Issued </t>
  </si>
  <si>
    <t>Obligasi</t>
  </si>
  <si>
    <t>a. Debts</t>
  </si>
  <si>
    <t>Subordinasi ****)</t>
  </si>
  <si>
    <t>b. Subordianted debts</t>
  </si>
  <si>
    <t>c. Others</t>
  </si>
  <si>
    <t xml:space="preserve">Pinjaman yang Diterima </t>
  </si>
  <si>
    <t xml:space="preserve">5. Loans Received </t>
  </si>
  <si>
    <t>Pinjaman Subordinasi ****)</t>
  </si>
  <si>
    <t>a. Subordinated</t>
  </si>
  <si>
    <t>Surat Berharga subordinasi yang diperhitungkan dalam KPMM dan dilaporkan di LBU pada pos Modal Pinjaman.</t>
  </si>
  <si>
    <t>b. Others</t>
  </si>
  <si>
    <t>Surat Berharga yang Diterbitkan yang tidak dapat dimasukkan atau digolongkan ke dalam salah satu dari huruf a dan huruf b.</t>
  </si>
  <si>
    <t>Kewajiban lainnya</t>
  </si>
  <si>
    <t>6. Other liabilties</t>
  </si>
  <si>
    <t xml:space="preserve"> </t>
  </si>
  <si>
    <t>Kewajiban atas Surat Berharga yang dijual dengan janji dibeli kembali (Repo)</t>
  </si>
  <si>
    <t>a. Repo</t>
  </si>
  <si>
    <t>Kewajiban lainnya diterima lainnya yang tidak dapat dimasukkan atau digolongkan ke dalam salah satu dari huruf a.</t>
  </si>
  <si>
    <t>Kewajiban yang tidak dapat dimasukkan atau digolongkan ke dalam salah satu dari pos 1 s.d. 6</t>
  </si>
  <si>
    <t>Total Kewajiban</t>
  </si>
  <si>
    <t>Selisih Aset dengan Kewajiban dalam Neraca</t>
  </si>
  <si>
    <t>II</t>
  </si>
  <si>
    <t>REKENING ADMINISTRATIF</t>
  </si>
  <si>
    <t>ITEMS</t>
  </si>
  <si>
    <t>MAPPING</t>
  </si>
  <si>
    <t>hanya bagian dari pos tsb yang diperkirakan akan mempengaruhi arus kas (menjadi tagihan / kewajiban)</t>
  </si>
  <si>
    <t>Tagihan Rekening Administratif</t>
  </si>
  <si>
    <t>Komitmen</t>
  </si>
  <si>
    <t>1. Commitment</t>
  </si>
  <si>
    <t>Fasilitas pinjaman yang belum ditarik</t>
  </si>
  <si>
    <t>a. Unused facility limit</t>
  </si>
  <si>
    <t>BIN, LMC-1, LMC-2, UMN, USK, BSK, PDM, dan KCLN</t>
  </si>
  <si>
    <t>Dana TSL, fasilitas kredit dari bank lain, fasilitas dana kredit likuiditas</t>
  </si>
  <si>
    <t>Posisi pembelian spot dan derivatif yang masih berjalan</t>
  </si>
  <si>
    <t>b. Unsettled Trades</t>
  </si>
  <si>
    <t>LIK, dan KCLN</t>
  </si>
  <si>
    <t>Spot</t>
  </si>
  <si>
    <t xml:space="preserve">       1) Spot</t>
  </si>
  <si>
    <t>Derivatif</t>
  </si>
  <si>
    <t xml:space="preserve">       2) Derivatives</t>
  </si>
  <si>
    <t>-</t>
  </si>
  <si>
    <t xml:space="preserve"> Kontijensi *****)</t>
  </si>
  <si>
    <t>2. Continegent Assets</t>
  </si>
  <si>
    <t>INT, OPR, dan KCLN</t>
  </si>
  <si>
    <t>Stby LC yg diterima, Garansi Bank yg diterima</t>
  </si>
  <si>
    <t>Total Tagihan Rekening Administratif</t>
  </si>
  <si>
    <t>Kewajiban Rekening Administratif</t>
  </si>
  <si>
    <t>Fasilitas kredit  yang belum ditarik</t>
  </si>
  <si>
    <t>Fasilitas KMK, KI, K.Konsumtif (committed &amp; uncomitted)</t>
  </si>
  <si>
    <r>
      <rPr>
        <i/>
        <sz val="24"/>
        <color indexed="8"/>
        <rFont val="Arial"/>
        <family val="2"/>
      </rPr>
      <t xml:space="preserve">Irrevocable </t>
    </r>
    <r>
      <rPr>
        <sz val="24"/>
        <color indexed="8"/>
        <rFont val="Arial"/>
        <family val="2"/>
      </rPr>
      <t>L/C yang masih berjalan</t>
    </r>
  </si>
  <si>
    <t>b. Irrevocable LC</t>
  </si>
  <si>
    <t>INT, dan KCLN</t>
  </si>
  <si>
    <t>LC sight, usance , LC DN sigt, dan LC DN usance</t>
  </si>
  <si>
    <t>Posisi penjualan spot dan derivatif yang masih berjalan</t>
  </si>
  <si>
    <t>c. Unsettled Trades</t>
  </si>
  <si>
    <t>d.</t>
  </si>
  <si>
    <t>d. Others</t>
  </si>
  <si>
    <t>Kontijensi ******)</t>
  </si>
  <si>
    <t>2. Continegent Liability</t>
  </si>
  <si>
    <t>Stby LC yg diterbitkan Garansi Bank yg diterbitkan</t>
  </si>
  <si>
    <t>Total Kewajiban Rekening Administratif</t>
  </si>
  <si>
    <t>Selisih Tagihan dan Kewajiban dalam Rekening Administratif</t>
  </si>
  <si>
    <t>Selisih [(IA-IB)+(IIA-IIB)]</t>
  </si>
  <si>
    <t>Selisih Kumulatif</t>
  </si>
  <si>
    <t>*)</t>
  </si>
  <si>
    <t>Angka-angka berdasarkan jatuh tempo sesuai dengan kontrak untuk yang memiliki jatuh tempo kontraktual dan/atau estimasi dengan menggunakan berbagai asumsi untuk yang tidak memiliki jatuh tempo kontraktual</t>
  </si>
  <si>
    <t>**)</t>
  </si>
  <si>
    <t>Termasuk Surat Berharga yang dijual dengan janji dibeli kembali (Repo)</t>
  </si>
  <si>
    <t>***)</t>
  </si>
  <si>
    <t>Diisi berdasarkan perkiraan diperoleh pembayaran atas kredit yang berdasarkan kontrak sudah jatuh tempo</t>
  </si>
  <si>
    <t>****)</t>
  </si>
  <si>
    <t>Termasuk yang diperhitungkan dalam KPMM dan dilaporkan di LBU pada pos Modal Pinjaman</t>
  </si>
  <si>
    <t>*****)</t>
  </si>
  <si>
    <t>Yang diperkirakan akan mempengaruhi arus kas (menjadi tagihan)</t>
  </si>
  <si>
    <t>******)</t>
  </si>
  <si>
    <t>Yang diperkirakan akan mempengaruhi arus kas (menjadi kewajiban)</t>
  </si>
  <si>
    <t>¨</t>
  </si>
  <si>
    <t>Pos-pos dalam maturity profile diisi sesuai pembukuan Bank Pelapor berdasarkan sisa waktu sampai dengan jatuh tempo sesuai kontrak untuk pos neraca dan rekening administratif yang memiliki jatuh tempo kontraktual dan/ atau asumsi utk pos neraca dan rekeni</t>
  </si>
  <si>
    <t>Yang dimasukkan dalam pos-pos neraca adalah hanya pos-pos dengan karakteristik memiliki arus kas masuk / atau arus kas keluar, sehingga tidak seluruh pos di neraca di masukkan dalam laporan ini. Contoh pos neraca yang tidak dimasukkan dalam laporan ini an</t>
  </si>
  <si>
    <r>
      <t>Sebagai kontrol, agar sesuai dengan neraca (balance antara asset &amp; liability --&gt; Total Asset - Total Liability = 0 di kolom saldo (H)), maka pos-pos yang tidak dimasukkan ke dalam maturity profile tetap dimasukkan ke pos poin</t>
    </r>
    <r>
      <rPr>
        <b/>
        <u/>
        <sz val="24"/>
        <color indexed="8"/>
        <rFont val="Arial"/>
        <family val="2"/>
      </rPr>
      <t xml:space="preserve"> 7. Lainnya</t>
    </r>
    <r>
      <rPr>
        <sz val="24"/>
        <color indexed="8"/>
        <rFont val="Arial"/>
        <family val="2"/>
      </rPr>
      <t xml:space="preserve"> diletakkan di kolo</t>
    </r>
  </si>
  <si>
    <t xml:space="preserve">Formulir 4.b. </t>
  </si>
  <si>
    <t>MATURITY PROFILE REPORT - BNI LONDON Branch</t>
  </si>
  <si>
    <t>CONTRACTUAL BASED</t>
  </si>
  <si>
    <t>Valuta Asing</t>
  </si>
  <si>
    <t>in Thousand USD</t>
  </si>
  <si>
    <t>Sandi</t>
  </si>
  <si>
    <t>Saldo</t>
  </si>
  <si>
    <t>Time to Maturity *)</t>
  </si>
  <si>
    <t>up to 1 week</t>
  </si>
  <si>
    <t xml:space="preserve">&gt; 1 week to 2 weeks </t>
  </si>
  <si>
    <t>&gt; 2 weeks to 1 month</t>
  </si>
  <si>
    <t xml:space="preserve">&gt; 1 month to 3 months </t>
  </si>
  <si>
    <t>&gt; 3 months to 6 months</t>
  </si>
  <si>
    <t>&gt; 6 months to 1 year</t>
  </si>
  <si>
    <t>Lain-lain</t>
  </si>
  <si>
    <r>
      <t xml:space="preserve">Deposit </t>
    </r>
    <r>
      <rPr>
        <i/>
        <sz val="11"/>
        <color indexed="8"/>
        <rFont val="Arial"/>
        <family val="2"/>
      </rPr>
      <t>on call</t>
    </r>
  </si>
  <si>
    <t>C. Selisih Aset dengan Kewajiban dalam Neraca</t>
  </si>
  <si>
    <r>
      <rPr>
        <i/>
        <sz val="11"/>
        <color indexed="8"/>
        <rFont val="Arial"/>
        <family val="2"/>
      </rPr>
      <t xml:space="preserve">Irrevocable </t>
    </r>
    <r>
      <rPr>
        <sz val="11"/>
        <color indexed="8"/>
        <rFont val="Arial"/>
        <family val="2"/>
      </rPr>
      <t>L/C yang masih berjalan</t>
    </r>
  </si>
  <si>
    <t>C. Selisih Tagihan dan Kewajiban dalam Rekening Administratif</t>
  </si>
  <si>
    <t>PT Bank Negara Indonesia (Persero) Tbk.</t>
  </si>
  <si>
    <t>catatan: Core Giro non bank berdasarkan data historis selama Dua (2) tahun.</t>
  </si>
  <si>
    <t>Catatan:</t>
  </si>
  <si>
    <t>Pos-pos dalam maturity profile diisi sesuai pembukuan Bank Pelapor berdasarkan sisa waktu sampai dengan jatuh tempo sesuai kontrak untuk pos neraca dan rekening administratif yang memiliki jatuh tempo kontraktual dan/ atau asumsi utk pos neraca dan rekening administratif yang tidak memiliki jatuh tempo kontraktual (non maturity items)</t>
  </si>
  <si>
    <t>Yang dimasukkan dalam pos-pos neraca adalah hanya pos-pos dengan karakteristik memiliki arus kas masuk / atau arus kas keluar, sehingga tidak seluruh pos di neraca di masukkan dalam laporan ini. Contoh pos neraca yang tidak dimasukkan dalam laporan ini antara lain asset tetap, AYDA, properti terbengkalai, penyertaan, dan modal</t>
  </si>
  <si>
    <r>
      <t>Sebagai kontrol, agar sesuai dengan neraca (balance antara asset &amp; liability --&gt; Total Asset - Total Liability = 0 di kolom saldo (H)), maka pos-pos yang tidak dimasukkan ke dalam maturity profile tetap dimasukkan ke pos poin</t>
    </r>
    <r>
      <rPr>
        <b/>
        <u/>
        <sz val="11"/>
        <color indexed="8"/>
        <rFont val="Arial"/>
        <family val="2"/>
      </rPr>
      <t xml:space="preserve"> 7. Lainnya</t>
    </r>
    <r>
      <rPr>
        <sz val="11"/>
        <color indexed="8"/>
        <rFont val="Arial"/>
        <family val="2"/>
      </rPr>
      <t xml:space="preserve"> diletakkan di kolom (P).</t>
    </r>
  </si>
  <si>
    <t xml:space="preserve">Tagihan  --&gt; Buy </t>
  </si>
  <si>
    <t>Kewajiban --&gt; Sell</t>
  </si>
  <si>
    <t>MATURITY PROFILE REPORT - BNI NEW YORK AGENCY</t>
  </si>
  <si>
    <t>LIABILITIES KUMULATIF S.D 1 BULAN</t>
  </si>
  <si>
    <t>aset</t>
  </si>
  <si>
    <t>ASSET KUMULATIF S.D 1 BULAN</t>
  </si>
  <si>
    <t>kewajiban</t>
  </si>
  <si>
    <t>x</t>
  </si>
  <si>
    <t>PRT.GLAJ650.PER - 100001 NY</t>
  </si>
  <si>
    <t>NOT AVAILABLE</t>
  </si>
  <si>
    <t>PRT.GLAJ650.PER - (NY) 102001+(NY) 102002+(IBF)110103</t>
  </si>
  <si>
    <t>PRT.GLAJ650.PER - 115127+115130+115132+115135+115136+115182+115183</t>
  </si>
  <si>
    <t>*difference due to accounting</t>
  </si>
  <si>
    <t>PRT.GLAJ650.PER - 115147+115155+115156+115181</t>
  </si>
  <si>
    <t>repo= 115144-115181</t>
  </si>
  <si>
    <t>FROM loan sheet</t>
  </si>
  <si>
    <t>PRT.GLAJ650.PER - (NY) 150004</t>
  </si>
  <si>
    <t>PRT.GLAJ650.PER - (NY) 150001</t>
  </si>
  <si>
    <t>.</t>
  </si>
  <si>
    <t>PRT.GLAJ650.PER - (NY) 210001+210002+210006+251003</t>
  </si>
  <si>
    <t>PRT.GLAJ650.PER - 210031 (IBF + NYA)</t>
  </si>
  <si>
    <t>z</t>
  </si>
  <si>
    <t>PRT.GLAJ650.PER - (IBF)252001+ (IBF)253001+(IBF)220001</t>
  </si>
  <si>
    <t>PRT.GLAJ650.PER - (NY)615001+615631+615632+620002+625106</t>
  </si>
  <si>
    <t>SOURCE Loan sheet</t>
  </si>
  <si>
    <t>PRT.GLAJ650.PER -(NY) 715001+715631+715632+720002+725106</t>
  </si>
  <si>
    <t>MATURITY PROFILE REPORT - BNI SEOUL Branch</t>
  </si>
  <si>
    <t>USD/KRW</t>
  </si>
  <si>
    <t>MATURITY PROFILE REPORT - BNI SINGAPORE BRANCH</t>
  </si>
  <si>
    <t>rollover borrow HO</t>
  </si>
  <si>
    <t>\</t>
  </si>
  <si>
    <t>15 Jul - 31 Jul</t>
  </si>
  <si>
    <t>Aug - Sep 26</t>
  </si>
  <si>
    <t>Oct - Dec 26</t>
  </si>
  <si>
    <t>Jan 27 - Jun 27</t>
  </si>
  <si>
    <t>Jul 27 - Jun 28</t>
  </si>
  <si>
    <t>Jul 28 - Jun 29</t>
  </si>
  <si>
    <t>Jul 29 - Jun 30</t>
  </si>
  <si>
    <t>Jul 30 - Jun 31</t>
  </si>
  <si>
    <t>Jul 31 - Jun 33</t>
  </si>
  <si>
    <t>Jul 33 - Jun 36</t>
  </si>
  <si>
    <t>Jul 36 - Jun 41</t>
  </si>
  <si>
    <t>Jul 41 - Jun 46</t>
  </si>
  <si>
    <t>&gt; Jun 46</t>
  </si>
  <si>
    <t>1011+1012+1013</t>
  </si>
  <si>
    <t>1464+1466+1468</t>
  </si>
  <si>
    <t>1075+1157+2468+2143+2153+2157+2253+2272+2281+2282+2401+2441+2451+2453+2462</t>
  </si>
  <si>
    <t>3011+3012+3013</t>
  </si>
  <si>
    <t>3101+3102</t>
  </si>
  <si>
    <t>4678+4806+4264+4496+4497+4481+4544+4571+4572+4504+4486+4501+4503+4669+4693</t>
  </si>
  <si>
    <t>9016+9117+9118+9015+9116</t>
  </si>
  <si>
    <t>9023+9024</t>
  </si>
  <si>
    <t>9011+9032+9031</t>
  </si>
  <si>
    <t>MATURITY PROFILE REPORT - BNI TOKYO Branch</t>
  </si>
  <si>
    <t>As of 30 June 2026</t>
  </si>
  <si>
    <t xml:space="preserve">  </t>
  </si>
  <si>
    <t xml:space="preserve"> in Thousand USD</t>
    <phoneticPr fontId="14"/>
  </si>
  <si>
    <t>1)</t>
    <phoneticPr fontId="14"/>
  </si>
  <si>
    <t>Penempatan pada Bank Central setempat (BOJ)</t>
  </si>
  <si>
    <t>Penempatan pada bank lain exclude Bank Central</t>
  </si>
  <si>
    <t>Surat berharga</t>
    <phoneticPr fontId="14"/>
  </si>
  <si>
    <t>diperdagangkan</t>
    <phoneticPr fontId="14"/>
  </si>
  <si>
    <t>pinjaman yang diberikan dan piutang</t>
    <phoneticPr fontId="14"/>
  </si>
  <si>
    <t>Tagihan atas Surat Berharga yang dibeli dengan janji dijual kembali (Reverse Repo)</t>
    <phoneticPr fontId="14"/>
  </si>
  <si>
    <t>Deposit on call</t>
  </si>
  <si>
    <t>Kewajiban kepada bank lain</t>
    <phoneticPr fontId="14"/>
  </si>
  <si>
    <t>Kewajiban kepada bank Central setempat</t>
  </si>
  <si>
    <t>Tagihan Rekening Administratif (Receivable)</t>
    <phoneticPr fontId="14"/>
  </si>
  <si>
    <t>Kewajiban Rekening Administratif (Payable)</t>
    <phoneticPr fontId="14"/>
  </si>
  <si>
    <t>Irrevocable L/C yang masih berjalan</t>
  </si>
  <si>
    <t>Selisih Kumulatif Borrowing HO yang di Rollover</t>
  </si>
  <si>
    <t>Pada rentan waktu 1 bulan terdapat pinjaman dari HO / KCLN Lain yang jatuh tempo, yaitu</t>
  </si>
  <si>
    <t>Up to 1 Wk</t>
  </si>
  <si>
    <t>&gt; 1 Wk to 2 Wk</t>
  </si>
  <si>
    <t>&gt;2 WK to 1 Month</t>
  </si>
  <si>
    <t>Apabila pinjaman dari HO dikeluarkan maka Selisih Kumulatif sampai dengan 1 bulan adalah USD 120,062</t>
  </si>
  <si>
    <t>Sudah mendapat persetujuan dari HO untuk dilakukan R/O</t>
  </si>
  <si>
    <t>Sebagai kontrol, agar sesuai dengan neraca (balance antara asset &amp; liability --&gt; Total Asset - Total Liability = 0 di kolom saldo (H)), maka pos-pos yang tidak dimasukkan ke dalam maturity profile tetap dimasukkan ke pos poin 7. Lainnya diletakkan di kolom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</si>
</sst>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_(* \(#,##0\);_(* &quot;-&quot;_);_(@_)"/>
    <numFmt numFmtId="43" formatCode="_(* #,##0.00_);_(* \(#,##0.00\);_(* &quot;-&quot;??_);_(@_)"/>
    <numFmt numFmtId="164" formatCode="_-* #,##0.00_-;\-* #,##0.00_-;_-* &quot;-&quot;??_-;_-@_-"/>
    <numFmt numFmtId="165" formatCode="_(* #,##0_);_(* \(#,##0\);_(* &quot;-&quot;??_);_(@_)"/>
    <numFmt numFmtId="166" formatCode="[$-409]d\-mmm\-yyyy;@"/>
    <numFmt numFmtId="167" formatCode="_(* #,##0.0_);_(* \(#,##0.0\);_(* &quot;-&quot;??_);_(@_)"/>
    <numFmt numFmtId="168" formatCode="0.0000"/>
    <numFmt numFmtId="169" formatCode="ddmmmyy"/>
    <numFmt numFmtId="170" formatCode="0_);[Red]\(0\)"/>
    <numFmt numFmtId="171" formatCode="[$-10409]#,##0.00;\(#,##0.00\)"/>
  </numFmts>
  <fonts count="84">
    <font>
      <sz val="11"/>
      <color theme="1"/>
      <name val="Calibri"/>
      <family val="2"/>
      <scheme val="minor"/>
    </font>
    <font>
      <sz val="11"/>
      <color indexed="8"/>
      <name val="Calibri"/>
      <family val="2"/>
    </font>
    <font>
      <sz val="8"/>
      <name val="Calibri"/>
      <family val="2"/>
    </font>
    <font>
      <b/>
      <sz val="11"/>
      <color indexed="8"/>
      <name val="Calibri"/>
      <family val="2"/>
    </font>
    <font>
      <sz val="11"/>
      <color indexed="8"/>
      <name val="Arial"/>
      <family val="2"/>
    </font>
    <font>
      <sz val="28"/>
      <color indexed="9"/>
      <name val="Arial"/>
      <family val="2"/>
    </font>
    <font>
      <b/>
      <sz val="48"/>
      <color indexed="8"/>
      <name val="Arial"/>
      <family val="2"/>
    </font>
    <font>
      <b/>
      <sz val="36"/>
      <color indexed="8"/>
      <name val="Arial"/>
      <family val="2"/>
    </font>
    <font>
      <b/>
      <sz val="24"/>
      <color indexed="8"/>
      <name val="Arial"/>
      <family val="2"/>
    </font>
    <font>
      <b/>
      <sz val="11"/>
      <color indexed="8"/>
      <name val="Arial"/>
      <family val="2"/>
    </font>
    <font>
      <sz val="24"/>
      <color indexed="8"/>
      <name val="Arial"/>
      <family val="2"/>
    </font>
    <font>
      <b/>
      <sz val="28"/>
      <color indexed="8"/>
      <name val="Arial"/>
      <family val="2"/>
    </font>
    <font>
      <b/>
      <sz val="26"/>
      <color indexed="8"/>
      <name val="Arial"/>
      <family val="2"/>
    </font>
    <font>
      <b/>
      <sz val="22"/>
      <color indexed="30"/>
      <name val="Arial"/>
      <family val="2"/>
    </font>
    <font>
      <b/>
      <sz val="11"/>
      <color indexed="12"/>
      <name val="Arial"/>
      <family val="2"/>
    </font>
    <font>
      <b/>
      <sz val="24"/>
      <color indexed="12"/>
      <name val="Arial"/>
      <family val="2"/>
    </font>
    <font>
      <sz val="22"/>
      <color indexed="8"/>
      <name val="Arial"/>
      <family val="2"/>
    </font>
    <font>
      <sz val="24"/>
      <name val="Arial"/>
      <family val="2"/>
    </font>
    <font>
      <sz val="17"/>
      <color indexed="8"/>
      <name val="Arial"/>
      <family val="2"/>
    </font>
    <font>
      <vertAlign val="superscript"/>
      <sz val="22"/>
      <color indexed="8"/>
      <name val="Arial"/>
      <family val="2"/>
    </font>
    <font>
      <sz val="22"/>
      <color indexed="8"/>
      <name val="Symbol"/>
      <family val="1"/>
      <charset val="2"/>
    </font>
    <font>
      <sz val="26"/>
      <color indexed="8"/>
      <name val="Arial"/>
      <family val="2"/>
    </font>
    <font>
      <sz val="28"/>
      <color indexed="8"/>
      <name val="Arial"/>
      <family val="2"/>
    </font>
    <font>
      <b/>
      <sz val="10.8"/>
      <color indexed="8"/>
      <name val="Times New Roman"/>
      <family val="1"/>
    </font>
    <font>
      <sz val="11"/>
      <name val="Arial"/>
      <family val="2"/>
    </font>
    <font>
      <i/>
      <sz val="11"/>
      <color indexed="8"/>
      <name val="Arial"/>
      <family val="2"/>
    </font>
    <font>
      <vertAlign val="superscript"/>
      <sz val="11"/>
      <color indexed="8"/>
      <name val="Arial"/>
      <family val="2"/>
    </font>
    <font>
      <b/>
      <u/>
      <sz val="11"/>
      <color indexed="8"/>
      <name val="Arial"/>
      <family val="2"/>
    </font>
    <font>
      <sz val="11"/>
      <color indexed="9"/>
      <name val="Arial"/>
      <family val="2"/>
    </font>
    <font>
      <b/>
      <sz val="11"/>
      <color indexed="9"/>
      <name val="Arial"/>
      <family val="2"/>
    </font>
    <font>
      <sz val="22"/>
      <color indexed="8"/>
      <name val="Bernard MT Condensed"/>
      <family val="1"/>
    </font>
    <font>
      <b/>
      <sz val="16"/>
      <color indexed="8"/>
      <name val="Bookman Old Style"/>
      <family val="1"/>
    </font>
    <font>
      <b/>
      <sz val="14"/>
      <color indexed="8"/>
      <name val="Arial Rounded MT Bold"/>
      <family val="2"/>
    </font>
    <font>
      <b/>
      <i/>
      <sz val="11"/>
      <color indexed="8"/>
      <name val="Arial"/>
      <family val="2"/>
    </font>
    <font>
      <sz val="14"/>
      <color indexed="8"/>
      <name val="Bernard MT Condensed"/>
      <family val="1"/>
    </font>
    <font>
      <b/>
      <sz val="11"/>
      <color indexed="8"/>
      <name val="Arial Unicode MS"/>
      <family val="2"/>
    </font>
    <font>
      <b/>
      <sz val="11"/>
      <color indexed="30"/>
      <name val="Arial Unicode MS"/>
      <family val="2"/>
    </font>
    <font>
      <b/>
      <sz val="11"/>
      <color indexed="30"/>
      <name val="Arial"/>
      <family val="2"/>
    </font>
    <font>
      <b/>
      <sz val="11"/>
      <name val="Arial"/>
      <family val="2"/>
    </font>
    <font>
      <sz val="11"/>
      <color indexed="30"/>
      <name val="Arial"/>
      <family val="2"/>
    </font>
    <font>
      <sz val="12"/>
      <color indexed="8"/>
      <name val="Bernard MT Condensed"/>
      <family val="1"/>
    </font>
    <font>
      <b/>
      <i/>
      <sz val="11"/>
      <name val="Calibri"/>
      <family val="2"/>
    </font>
    <font>
      <sz val="11"/>
      <color indexed="8"/>
      <name val="Symbol"/>
      <family val="1"/>
      <charset val="2"/>
    </font>
    <font>
      <sz val="20"/>
      <color indexed="8"/>
      <name val="Arial"/>
      <family val="2"/>
    </font>
    <font>
      <sz val="20"/>
      <name val="Arial"/>
      <family val="2"/>
    </font>
    <font>
      <sz val="12"/>
      <name val="Helv"/>
    </font>
    <font>
      <sz val="11"/>
      <color indexed="17"/>
      <name val="Calibri"/>
      <family val="2"/>
    </font>
    <font>
      <sz val="10"/>
      <name val="Arial"/>
      <family val="2"/>
    </font>
    <font>
      <sz val="11"/>
      <color indexed="20"/>
      <name val="Calibri"/>
      <family val="2"/>
    </font>
    <font>
      <sz val="10"/>
      <name val="Frutiger"/>
      <family val="2"/>
    </font>
    <font>
      <sz val="11"/>
      <color indexed="81"/>
      <name val="Tahoma"/>
      <family val="2"/>
    </font>
    <font>
      <b/>
      <sz val="24"/>
      <name val="Arial"/>
      <family val="2"/>
    </font>
    <font>
      <b/>
      <sz val="11"/>
      <color indexed="8"/>
      <name val="Calibri"/>
      <family val="2"/>
      <charset val="1"/>
    </font>
    <font>
      <b/>
      <sz val="9"/>
      <color indexed="81"/>
      <name val="ＭＳ Ｐゴシック"/>
      <family val="3"/>
      <charset val="128"/>
    </font>
    <font>
      <sz val="9"/>
      <color indexed="81"/>
      <name val="ＭＳ Ｐゴシック"/>
      <family val="3"/>
      <charset val="128"/>
    </font>
    <font>
      <b/>
      <sz val="9"/>
      <color indexed="81"/>
      <name val="Tahoma"/>
      <family val="2"/>
    </font>
    <font>
      <sz val="9"/>
      <color indexed="81"/>
      <name val="Tahoma"/>
      <family val="2"/>
    </font>
    <font>
      <sz val="11"/>
      <name val="Calibri"/>
      <family val="2"/>
    </font>
    <font>
      <i/>
      <sz val="24"/>
      <color indexed="8"/>
      <name val="Arial"/>
      <family val="2"/>
    </font>
    <font>
      <b/>
      <u/>
      <sz val="24"/>
      <color indexed="8"/>
      <name val="Arial"/>
      <family val="2"/>
    </font>
    <font>
      <sz val="36"/>
      <color indexed="8"/>
      <name val="Arial"/>
      <family val="2"/>
    </font>
    <font>
      <sz val="11"/>
      <color indexed="8"/>
      <name val="Tahoma"/>
      <family val="2"/>
    </font>
    <font>
      <sz val="11"/>
      <color theme="1"/>
      <name val="Calibri"/>
      <family val="2"/>
      <scheme val="minor"/>
    </font>
    <font>
      <sz val="12"/>
      <color theme="1"/>
      <name val="Calibri"/>
      <family val="2"/>
      <charset val="1"/>
    </font>
    <font>
      <b/>
      <sz val="11"/>
      <color theme="1"/>
      <name val="Calibri"/>
      <family val="2"/>
      <scheme val="minor"/>
    </font>
    <font>
      <sz val="11"/>
      <name val="Calibri"/>
      <family val="2"/>
      <scheme val="minor"/>
    </font>
    <font>
      <sz val="11"/>
      <color theme="1"/>
      <name val="Arial"/>
      <family val="2"/>
    </font>
    <font>
      <b/>
      <sz val="11"/>
      <color theme="1"/>
      <name val="Arial"/>
      <family val="2"/>
    </font>
    <font>
      <sz val="11"/>
      <color theme="0"/>
      <name val="Arial"/>
      <family val="2"/>
    </font>
    <font>
      <b/>
      <sz val="11"/>
      <color theme="0"/>
      <name val="Arial"/>
      <family val="2"/>
    </font>
    <font>
      <b/>
      <i/>
      <sz val="11"/>
      <color theme="1"/>
      <name val="Arial"/>
      <family val="2"/>
    </font>
    <font>
      <sz val="11"/>
      <color rgb="FF0070C0"/>
      <name val="Arial"/>
      <family val="2"/>
    </font>
    <font>
      <b/>
      <sz val="11"/>
      <color rgb="FF0070C0"/>
      <name val="Arial"/>
      <family val="2"/>
    </font>
    <font>
      <b/>
      <i/>
      <sz val="11"/>
      <name val="Calibri"/>
      <family val="2"/>
      <scheme val="minor"/>
    </font>
    <font>
      <sz val="11"/>
      <color theme="1"/>
      <name val="Symbol"/>
      <family val="1"/>
      <charset val="2"/>
    </font>
    <font>
      <b/>
      <sz val="14"/>
      <color theme="1"/>
      <name val="Arial"/>
      <family val="2"/>
    </font>
    <font>
      <sz val="11"/>
      <color rgb="FFFF0000"/>
      <name val="Arial"/>
      <family val="2"/>
    </font>
    <font>
      <sz val="11"/>
      <color rgb="FF212529"/>
      <name val="Roboto"/>
    </font>
    <font>
      <b/>
      <sz val="11"/>
      <color rgb="FFFF0000"/>
      <name val="Calibri"/>
      <family val="2"/>
    </font>
    <font>
      <sz val="9"/>
      <color theme="1"/>
      <name val="Calibri"/>
      <family val="3"/>
      <charset val="128"/>
      <scheme val="minor"/>
    </font>
    <font>
      <b/>
      <sz val="16"/>
      <color theme="1"/>
      <name val="Arial"/>
      <family val="2"/>
    </font>
    <font>
      <b/>
      <sz val="14"/>
      <color rgb="FFFF0000"/>
      <name val="Arial"/>
      <family val="2"/>
    </font>
    <font>
      <b/>
      <sz val="11"/>
      <color theme="1"/>
      <name val="Arial Unicode MS"/>
      <family val="2"/>
    </font>
    <font>
      <sz val="14"/>
      <color theme="1"/>
      <name val="Bernard MT Condensed"/>
      <family val="1"/>
    </font>
  </fonts>
  <fills count="35">
    <fill>
      <patternFill patternType="none"/>
    </fill>
    <fill>
      <patternFill patternType="gray125"/>
    </fill>
    <fill>
      <patternFill patternType="solid">
        <fgColor indexed="45"/>
      </patternFill>
    </fill>
    <fill>
      <patternFill patternType="solid">
        <fgColor indexed="42"/>
      </patternFill>
    </fill>
    <fill>
      <patternFill patternType="solid">
        <fgColor indexed="63"/>
        <bgColor indexed="64"/>
      </patternFill>
    </fill>
    <fill>
      <patternFill patternType="solid">
        <fgColor indexed="22"/>
        <bgColor indexed="64"/>
      </patternFill>
    </fill>
    <fill>
      <patternFill patternType="solid">
        <fgColor indexed="45"/>
        <bgColor indexed="64"/>
      </patternFill>
    </fill>
    <fill>
      <patternFill patternType="solid">
        <fgColor indexed="51"/>
        <bgColor indexed="64"/>
      </patternFill>
    </fill>
    <fill>
      <patternFill patternType="solid">
        <fgColor indexed="27"/>
        <bgColor indexed="64"/>
      </patternFill>
    </fill>
    <fill>
      <patternFill patternType="solid">
        <fgColor indexed="46"/>
        <bgColor indexed="64"/>
      </patternFill>
    </fill>
    <fill>
      <patternFill patternType="solid">
        <fgColor indexed="11"/>
        <bgColor indexed="64"/>
      </patternFill>
    </fill>
    <fill>
      <patternFill patternType="solid">
        <fgColor rgb="FFFFFF00"/>
        <bgColor indexed="64"/>
      </patternFill>
    </fill>
    <fill>
      <patternFill patternType="solid">
        <fgColor theme="0"/>
        <bgColor indexed="64"/>
      </patternFill>
    </fill>
    <fill>
      <patternFill patternType="solid">
        <fgColor theme="1" tint="0.249977111117893"/>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0000"/>
        <bgColor indexed="64"/>
      </patternFill>
    </fill>
    <fill>
      <patternFill patternType="solid">
        <fgColor theme="0" tint="-0.249977111117893"/>
        <bgColor indexed="64"/>
      </patternFill>
    </fill>
    <fill>
      <patternFill patternType="solid">
        <fgColor theme="9"/>
        <bgColor indexed="64"/>
      </patternFill>
    </fill>
    <fill>
      <patternFill patternType="solid">
        <fgColor rgb="FF92D050"/>
        <bgColor indexed="64"/>
      </patternFill>
    </fill>
    <fill>
      <patternFill patternType="solid">
        <fgColor theme="4" tint="0.39997558519241921"/>
        <bgColor indexed="64"/>
      </patternFill>
    </fill>
    <fill>
      <patternFill patternType="solid">
        <fgColor rgb="FFFF6600"/>
        <bgColor indexed="64"/>
      </patternFill>
    </fill>
    <fill>
      <patternFill patternType="solid">
        <fgColor rgb="FF00B0F0"/>
        <bgColor indexed="64"/>
      </patternFill>
    </fill>
    <fill>
      <patternFill patternType="solid">
        <fgColor theme="6" tint="0.39997558519241921"/>
        <bgColor indexed="64"/>
      </patternFill>
    </fill>
    <fill>
      <patternFill patternType="solid">
        <fgColor rgb="FF99FFCC"/>
        <bgColor indexed="64"/>
      </patternFill>
    </fill>
    <fill>
      <patternFill patternType="solid">
        <fgColor theme="5" tint="0.59999389629810485"/>
        <bgColor indexed="64"/>
      </patternFill>
    </fill>
    <fill>
      <patternFill patternType="solid">
        <fgColor rgb="FF0070C0"/>
        <bgColor indexed="64"/>
      </patternFill>
    </fill>
    <fill>
      <patternFill patternType="solid">
        <fgColor theme="7" tint="0.59999389629810485"/>
        <bgColor indexed="64"/>
      </patternFill>
    </fill>
    <fill>
      <patternFill patternType="solid">
        <fgColor theme="6"/>
        <bgColor indexed="64"/>
      </patternFill>
    </fill>
    <fill>
      <patternFill patternType="solid">
        <fgColor theme="8" tint="0.59999389629810485"/>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ck">
        <color indexed="9"/>
      </left>
      <right style="thick">
        <color indexed="9"/>
      </right>
      <top style="thick">
        <color indexed="9"/>
      </top>
      <bottom style="thick">
        <color indexed="9"/>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medium">
        <color indexed="64"/>
      </left>
      <right/>
      <top style="thin">
        <color indexed="64"/>
      </top>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medium">
        <color indexed="64"/>
      </bottom>
      <diagonal/>
    </border>
    <border>
      <left style="thick">
        <color theme="0"/>
      </left>
      <right style="thick">
        <color theme="0"/>
      </right>
      <top style="thick">
        <color theme="0"/>
      </top>
      <bottom style="thick">
        <color theme="0"/>
      </bottom>
      <diagonal/>
    </border>
  </borders>
  <cellStyleXfs count="31">
    <xf numFmtId="0" fontId="0" fillId="0" borderId="0"/>
    <xf numFmtId="43" fontId="62" fillId="0" borderId="0" applyFont="0" applyFill="0" applyBorder="0" applyAlignment="0" applyProtection="0"/>
    <xf numFmtId="41" fontId="62" fillId="0" borderId="0" applyFont="0" applyFill="0" applyBorder="0" applyAlignment="0" applyProtection="0"/>
    <xf numFmtId="41" fontId="23"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xf numFmtId="43" fontId="62"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xf numFmtId="0" fontId="47" fillId="0" borderId="0"/>
    <xf numFmtId="0" fontId="47" fillId="0" borderId="0">
      <alignment wrapText="1"/>
    </xf>
    <xf numFmtId="0" fontId="62" fillId="0" borderId="0"/>
    <xf numFmtId="0" fontId="62" fillId="0" borderId="0"/>
    <xf numFmtId="0" fontId="62" fillId="0" borderId="0"/>
    <xf numFmtId="0" fontId="45" fillId="0" borderId="0"/>
    <xf numFmtId="0" fontId="45" fillId="0" borderId="0"/>
    <xf numFmtId="0" fontId="63" fillId="0" borderId="0"/>
    <xf numFmtId="9" fontId="62" fillId="0" borderId="0" applyFont="0" applyFill="0" applyBorder="0" applyAlignment="0" applyProtection="0"/>
    <xf numFmtId="9" fontId="62" fillId="0" borderId="0" applyFont="0" applyFill="0" applyBorder="0" applyAlignment="0" applyProtection="0"/>
    <xf numFmtId="0" fontId="49" fillId="0" borderId="1">
      <alignment horizontal="center"/>
    </xf>
    <xf numFmtId="0" fontId="47" fillId="0" borderId="0"/>
    <xf numFmtId="43" fontId="47" fillId="0" borderId="0" applyFont="0" applyFill="0" applyBorder="0" applyAlignment="0" applyProtection="0"/>
    <xf numFmtId="0" fontId="48" fillId="2" borderId="0" applyNumberFormat="0" applyBorder="0" applyAlignment="0" applyProtection="0"/>
    <xf numFmtId="0" fontId="48" fillId="2" borderId="0" applyNumberFormat="0" applyBorder="0" applyAlignment="0" applyProtection="0"/>
    <xf numFmtId="0" fontId="46" fillId="3" borderId="0" applyNumberFormat="0" applyBorder="0" applyAlignment="0" applyProtection="0"/>
    <xf numFmtId="0" fontId="46" fillId="3" borderId="0" applyNumberFormat="0" applyBorder="0" applyAlignment="0" applyProtection="0"/>
    <xf numFmtId="43" fontId="62" fillId="0" borderId="0" applyFont="0" applyFill="0" applyBorder="0" applyAlignment="0" applyProtection="0"/>
    <xf numFmtId="0" fontId="62" fillId="0" borderId="0"/>
    <xf numFmtId="9" fontId="47" fillId="0" borderId="0" applyFont="0" applyFill="0" applyBorder="0" applyAlignment="0" applyProtection="0"/>
  </cellStyleXfs>
  <cellXfs count="1322">
    <xf numFmtId="0" fontId="0" fillId="0" borderId="0" xfId="0"/>
    <xf numFmtId="9" fontId="0" fillId="0" borderId="0" xfId="0" applyNumberFormat="1" applyAlignment="1">
      <alignment horizontal="center"/>
    </xf>
    <xf numFmtId="0" fontId="0" fillId="0" borderId="0" xfId="0" applyAlignment="1">
      <alignment horizontal="center"/>
    </xf>
    <xf numFmtId="0" fontId="0" fillId="0" borderId="2" xfId="0" applyBorder="1" applyAlignment="1">
      <alignment horizontal="center"/>
    </xf>
    <xf numFmtId="17" fontId="64" fillId="11" borderId="2" xfId="0" applyNumberFormat="1" applyFont="1" applyFill="1" applyBorder="1" applyAlignment="1">
      <alignment horizontal="center" vertical="center"/>
    </xf>
    <xf numFmtId="0" fontId="64" fillId="11" borderId="2" xfId="0" applyFont="1" applyFill="1" applyBorder="1" applyAlignment="1">
      <alignment horizontal="center" vertical="center"/>
    </xf>
    <xf numFmtId="0" fontId="0" fillId="0" borderId="2" xfId="0" applyBorder="1"/>
    <xf numFmtId="165" fontId="65" fillId="0" borderId="2" xfId="1" applyNumberFormat="1" applyFont="1" applyBorder="1"/>
    <xf numFmtId="0" fontId="64" fillId="0" borderId="0" xfId="0" applyFont="1"/>
    <xf numFmtId="41" fontId="62" fillId="0" borderId="2" xfId="2" applyFont="1" applyBorder="1"/>
    <xf numFmtId="0" fontId="0" fillId="12" borderId="2" xfId="0" applyFill="1" applyBorder="1" applyAlignment="1">
      <alignment horizontal="center"/>
    </xf>
    <xf numFmtId="0" fontId="0" fillId="12" borderId="2" xfId="0" applyFill="1" applyBorder="1"/>
    <xf numFmtId="165" fontId="62" fillId="0" borderId="2" xfId="1" applyNumberFormat="1" applyFont="1" applyBorder="1"/>
    <xf numFmtId="10" fontId="62" fillId="0" borderId="2" xfId="19" applyNumberFormat="1" applyFont="1" applyBorder="1" applyAlignment="1">
      <alignment horizontal="center"/>
    </xf>
    <xf numFmtId="0" fontId="4" fillId="0" borderId="0" xfId="0" applyFont="1"/>
    <xf numFmtId="0" fontId="5" fillId="4" borderId="3" xfId="0" applyFont="1" applyFill="1" applyBorder="1" applyAlignment="1">
      <alignment horizontal="center"/>
    </xf>
    <xf numFmtId="0" fontId="4" fillId="0" borderId="0" xfId="0" applyFont="1" applyAlignment="1">
      <alignment horizontal="center"/>
    </xf>
    <xf numFmtId="0" fontId="14" fillId="0" borderId="0" xfId="0" applyFont="1" applyAlignment="1">
      <alignment vertical="center"/>
    </xf>
    <xf numFmtId="0" fontId="4" fillId="0" borderId="0" xfId="0" applyFont="1" applyAlignment="1">
      <alignment vertical="center"/>
    </xf>
    <xf numFmtId="0" fontId="9" fillId="0" borderId="0" xfId="0" applyFont="1"/>
    <xf numFmtId="0" fontId="4" fillId="0" borderId="0" xfId="0" applyFont="1" applyAlignment="1">
      <alignment vertical="top"/>
    </xf>
    <xf numFmtId="0" fontId="66" fillId="0" borderId="0" xfId="0" applyFont="1" applyProtection="1">
      <protection locked="0"/>
    </xf>
    <xf numFmtId="0" fontId="66" fillId="0" borderId="0" xfId="0" applyFont="1" applyAlignment="1" applyProtection="1">
      <alignment horizontal="center"/>
      <protection locked="0"/>
    </xf>
    <xf numFmtId="0" fontId="66" fillId="0" borderId="0" xfId="0" applyFont="1" applyAlignment="1" applyProtection="1">
      <alignment horizontal="right"/>
      <protection locked="0"/>
    </xf>
    <xf numFmtId="0" fontId="66" fillId="0" borderId="0" xfId="0" applyFont="1" applyAlignment="1" applyProtection="1">
      <alignment horizontal="center" vertical="center"/>
      <protection locked="0"/>
    </xf>
    <xf numFmtId="0" fontId="66" fillId="0" borderId="0" xfId="0" applyFont="1" applyAlignment="1" applyProtection="1">
      <alignment vertical="center"/>
      <protection locked="0"/>
    </xf>
    <xf numFmtId="0" fontId="67" fillId="0" borderId="0" xfId="0" applyFont="1" applyProtection="1">
      <protection locked="0"/>
    </xf>
    <xf numFmtId="0" fontId="66" fillId="0" borderId="0" xfId="0" applyFont="1" applyAlignment="1" applyProtection="1">
      <alignment vertical="top"/>
      <protection locked="0"/>
    </xf>
    <xf numFmtId="0" fontId="66" fillId="0" borderId="0" xfId="0" quotePrefix="1" applyFont="1" applyProtection="1">
      <protection locked="0"/>
    </xf>
    <xf numFmtId="4" fontId="66" fillId="0" borderId="0" xfId="0" applyNumberFormat="1" applyFont="1" applyAlignment="1" applyProtection="1">
      <alignment vertical="center"/>
      <protection locked="0"/>
    </xf>
    <xf numFmtId="165" fontId="66" fillId="0" borderId="0" xfId="0" applyNumberFormat="1" applyFont="1" applyAlignment="1" applyProtection="1">
      <alignment vertical="center"/>
      <protection locked="0"/>
    </xf>
    <xf numFmtId="0" fontId="66" fillId="0" borderId="0" xfId="0" applyFont="1"/>
    <xf numFmtId="0" fontId="66" fillId="0" borderId="0" xfId="0" applyFont="1" applyAlignment="1">
      <alignment horizontal="right"/>
    </xf>
    <xf numFmtId="0" fontId="68" fillId="13" borderId="55" xfId="0" applyFont="1" applyFill="1" applyBorder="1" applyAlignment="1">
      <alignment horizontal="center"/>
    </xf>
    <xf numFmtId="0" fontId="66" fillId="0" borderId="0" xfId="0" applyFont="1" applyAlignment="1">
      <alignment horizontal="center" vertical="center"/>
    </xf>
    <xf numFmtId="0" fontId="66" fillId="0" borderId="0" xfId="0" applyFont="1" applyAlignment="1">
      <alignment vertical="center"/>
    </xf>
    <xf numFmtId="0" fontId="67" fillId="0" borderId="0" xfId="0" applyFont="1"/>
    <xf numFmtId="0" fontId="66" fillId="0" borderId="0" xfId="0" applyFont="1" applyAlignment="1">
      <alignment vertical="top"/>
    </xf>
    <xf numFmtId="0" fontId="68" fillId="0" borderId="0" xfId="0" applyFont="1" applyProtection="1">
      <protection locked="0"/>
    </xf>
    <xf numFmtId="0" fontId="4" fillId="0" borderId="0" xfId="0" applyFont="1" applyProtection="1">
      <protection locked="0"/>
    </xf>
    <xf numFmtId="0" fontId="68" fillId="0" borderId="0" xfId="0" applyFont="1" applyAlignment="1" applyProtection="1">
      <alignment horizontal="center"/>
      <protection locked="0"/>
    </xf>
    <xf numFmtId="0" fontId="4" fillId="0" borderId="0" xfId="0" applyFont="1" applyAlignment="1" applyProtection="1">
      <alignment horizontal="center"/>
      <protection locked="0"/>
    </xf>
    <xf numFmtId="0" fontId="4" fillId="0" borderId="0" xfId="0" applyFont="1" applyAlignment="1" applyProtection="1">
      <alignment horizontal="right"/>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0" applyFont="1" applyAlignment="1" applyProtection="1">
      <alignment vertical="center"/>
      <protection locked="0"/>
    </xf>
    <xf numFmtId="0" fontId="4" fillId="0" borderId="0" xfId="0" applyFont="1" applyAlignment="1" applyProtection="1">
      <alignment vertical="center"/>
      <protection locked="0"/>
    </xf>
    <xf numFmtId="0" fontId="69" fillId="0" borderId="0" xfId="0" applyFont="1" applyProtection="1">
      <protection locked="0"/>
    </xf>
    <xf numFmtId="0" fontId="9" fillId="0" borderId="0" xfId="0" applyFont="1" applyProtection="1">
      <protection locked="0"/>
    </xf>
    <xf numFmtId="0" fontId="68" fillId="0" borderId="0" xfId="0" applyFont="1" applyAlignment="1" applyProtection="1">
      <alignment vertical="top"/>
      <protection locked="0"/>
    </xf>
    <xf numFmtId="0" fontId="4" fillId="0" borderId="0" xfId="0" applyFont="1" applyAlignment="1" applyProtection="1">
      <alignment vertical="top"/>
      <protection locked="0"/>
    </xf>
    <xf numFmtId="0" fontId="68" fillId="0" borderId="0" xfId="0" applyFont="1" applyAlignment="1" applyProtection="1">
      <alignment horizontal="right"/>
      <protection locked="0"/>
    </xf>
    <xf numFmtId="0" fontId="66" fillId="0" borderId="0" xfId="29" applyFont="1" applyProtection="1">
      <protection locked="0"/>
    </xf>
    <xf numFmtId="0" fontId="66" fillId="0" borderId="0" xfId="29" applyFont="1" applyAlignment="1" applyProtection="1">
      <alignment horizontal="center"/>
      <protection locked="0"/>
    </xf>
    <xf numFmtId="169" fontId="66" fillId="0" borderId="0" xfId="29" applyNumberFormat="1" applyFont="1" applyProtection="1">
      <protection locked="0"/>
    </xf>
    <xf numFmtId="0" fontId="66" fillId="0" borderId="0" xfId="29" applyFont="1" applyAlignment="1" applyProtection="1">
      <alignment horizontal="center" vertical="center"/>
      <protection locked="0"/>
    </xf>
    <xf numFmtId="0" fontId="66" fillId="0" borderId="0" xfId="29" applyFont="1" applyAlignment="1" applyProtection="1">
      <alignment vertical="center"/>
      <protection locked="0"/>
    </xf>
    <xf numFmtId="165" fontId="66" fillId="0" borderId="0" xfId="29" applyNumberFormat="1" applyFont="1" applyAlignment="1" applyProtection="1">
      <alignment vertical="center"/>
      <protection locked="0"/>
    </xf>
    <xf numFmtId="43" fontId="66" fillId="0" borderId="0" xfId="29" applyNumberFormat="1" applyFont="1" applyAlignment="1" applyProtection="1">
      <alignment vertical="center"/>
      <protection locked="0"/>
    </xf>
    <xf numFmtId="0" fontId="67" fillId="0" borderId="0" xfId="29" applyFont="1" applyProtection="1">
      <protection locked="0"/>
    </xf>
    <xf numFmtId="0" fontId="66" fillId="0" borderId="0" xfId="29" applyFont="1" applyAlignment="1" applyProtection="1">
      <alignment vertical="top"/>
      <protection locked="0"/>
    </xf>
    <xf numFmtId="0" fontId="66" fillId="0" borderId="0" xfId="29" applyFont="1" applyAlignment="1" applyProtection="1">
      <alignment horizontal="right"/>
      <protection locked="0"/>
    </xf>
    <xf numFmtId="165" fontId="0" fillId="0" borderId="0" xfId="0" applyNumberFormat="1"/>
    <xf numFmtId="0" fontId="66" fillId="0" borderId="0" xfId="29" applyFont="1" applyAlignment="1">
      <alignment horizontal="center"/>
    </xf>
    <xf numFmtId="169" fontId="66" fillId="0" borderId="0" xfId="29" applyNumberFormat="1" applyFont="1"/>
    <xf numFmtId="0" fontId="66" fillId="0" borderId="0" xfId="29" applyFont="1" applyAlignment="1">
      <alignment horizontal="center" vertical="center"/>
    </xf>
    <xf numFmtId="0" fontId="66" fillId="0" borderId="0" xfId="29" applyFont="1" applyAlignment="1">
      <alignment vertical="center"/>
    </xf>
    <xf numFmtId="0" fontId="66" fillId="0" borderId="0" xfId="29" applyFont="1"/>
    <xf numFmtId="0" fontId="67" fillId="0" borderId="0" xfId="29" applyFont="1"/>
    <xf numFmtId="0" fontId="66" fillId="0" borderId="0" xfId="29" applyFont="1" applyAlignment="1">
      <alignment vertical="top"/>
    </xf>
    <xf numFmtId="0" fontId="66" fillId="0" borderId="0" xfId="29" applyFont="1" applyAlignment="1">
      <alignment horizontal="right"/>
    </xf>
    <xf numFmtId="9" fontId="62" fillId="0" borderId="2" xfId="19" applyFont="1" applyBorder="1" applyAlignment="1">
      <alignment horizontal="center"/>
    </xf>
    <xf numFmtId="165" fontId="62" fillId="0" borderId="2" xfId="1" applyNumberFormat="1" applyFont="1" applyFill="1" applyBorder="1"/>
    <xf numFmtId="10" fontId="62" fillId="0" borderId="2" xfId="19" applyNumberFormat="1" applyFont="1" applyFill="1" applyBorder="1" applyAlignment="1">
      <alignment horizontal="center"/>
    </xf>
    <xf numFmtId="9" fontId="62" fillId="0" borderId="2" xfId="19" applyFont="1" applyFill="1" applyBorder="1" applyAlignment="1">
      <alignment horizontal="center"/>
    </xf>
    <xf numFmtId="165" fontId="65" fillId="0" borderId="2" xfId="1" applyNumberFormat="1" applyFont="1" applyFill="1" applyBorder="1"/>
    <xf numFmtId="0" fontId="66" fillId="0" borderId="0" xfId="0" applyFont="1" applyAlignment="1">
      <alignment horizontal="center"/>
    </xf>
    <xf numFmtId="164" fontId="66" fillId="0" borderId="0" xfId="0" applyNumberFormat="1" applyFont="1" applyAlignment="1" applyProtection="1">
      <alignment vertical="center"/>
      <protection locked="0"/>
    </xf>
    <xf numFmtId="0" fontId="24" fillId="0" borderId="0" xfId="29" applyFont="1" applyAlignment="1">
      <alignment horizontal="right"/>
    </xf>
    <xf numFmtId="0" fontId="68" fillId="13" borderId="55" xfId="29" applyFont="1" applyFill="1" applyBorder="1" applyAlignment="1">
      <alignment horizontal="center"/>
    </xf>
    <xf numFmtId="41" fontId="62" fillId="0" borderId="2" xfId="2" applyFont="1" applyFill="1" applyBorder="1"/>
    <xf numFmtId="0" fontId="4" fillId="0" borderId="0" xfId="0" applyFont="1" applyAlignment="1">
      <alignment horizontal="right"/>
    </xf>
    <xf numFmtId="0" fontId="28" fillId="4" borderId="3" xfId="0" applyFont="1" applyFill="1" applyBorder="1" applyAlignment="1">
      <alignment horizontal="center"/>
    </xf>
    <xf numFmtId="0" fontId="4" fillId="0" borderId="0" xfId="0" applyFont="1" applyAlignment="1">
      <alignment horizontal="center" vertical="center"/>
    </xf>
    <xf numFmtId="0" fontId="68" fillId="0" borderId="0" xfId="0" applyFont="1"/>
    <xf numFmtId="43" fontId="24" fillId="0" borderId="0" xfId="0" applyNumberFormat="1" applyFont="1" applyAlignment="1" applyProtection="1">
      <alignment vertical="center"/>
      <protection locked="0"/>
    </xf>
    <xf numFmtId="165" fontId="62" fillId="0" borderId="2" xfId="1" applyNumberFormat="1" applyFont="1" applyFill="1" applyBorder="1" applyAlignment="1">
      <alignment horizontal="right"/>
    </xf>
    <xf numFmtId="165" fontId="67" fillId="0" borderId="4" xfId="1" applyNumberFormat="1" applyFont="1" applyFill="1" applyBorder="1" applyAlignment="1" applyProtection="1">
      <alignment horizontal="right" vertical="center"/>
      <protection locked="0"/>
    </xf>
    <xf numFmtId="43" fontId="24" fillId="0" borderId="0" xfId="9" applyFont="1" applyFill="1" applyAlignment="1" applyProtection="1">
      <alignment vertical="center"/>
      <protection locked="0"/>
    </xf>
    <xf numFmtId="1" fontId="9" fillId="0" borderId="0" xfId="0" applyNumberFormat="1" applyFont="1" applyAlignment="1">
      <alignment horizontal="center"/>
    </xf>
    <xf numFmtId="0" fontId="4" fillId="0" borderId="0" xfId="15" applyFont="1"/>
    <xf numFmtId="0" fontId="5" fillId="4" borderId="3" xfId="15" applyFont="1" applyFill="1" applyBorder="1" applyAlignment="1">
      <alignment horizontal="center"/>
    </xf>
    <xf numFmtId="0" fontId="6" fillId="0" borderId="0" xfId="15" applyFont="1" applyAlignment="1">
      <alignment horizontal="center"/>
    </xf>
    <xf numFmtId="0" fontId="6" fillId="0" borderId="0" xfId="15" applyFont="1" applyAlignment="1" applyProtection="1">
      <alignment horizontal="center"/>
      <protection locked="0"/>
    </xf>
    <xf numFmtId="0" fontId="7" fillId="0" borderId="0" xfId="15" applyFont="1" applyAlignment="1">
      <alignment horizontal="center"/>
    </xf>
    <xf numFmtId="0" fontId="8" fillId="0" borderId="0" xfId="15" applyFont="1" applyAlignment="1">
      <alignment horizontal="center"/>
    </xf>
    <xf numFmtId="0" fontId="10" fillId="0" borderId="0" xfId="15" applyFont="1"/>
    <xf numFmtId="0" fontId="19" fillId="0" borderId="0" xfId="15" applyFont="1" applyAlignment="1">
      <alignment vertical="top"/>
    </xf>
    <xf numFmtId="0" fontId="16" fillId="0" borderId="0" xfId="15" applyFont="1"/>
    <xf numFmtId="0" fontId="19" fillId="0" borderId="0" xfId="15" applyFont="1"/>
    <xf numFmtId="0" fontId="20" fillId="0" borderId="0" xfId="15" applyFont="1" applyAlignment="1">
      <alignment horizontal="center" vertical="top"/>
    </xf>
    <xf numFmtId="0" fontId="4" fillId="0" borderId="0" xfId="15" applyFont="1" applyAlignment="1">
      <alignment vertical="top"/>
    </xf>
    <xf numFmtId="0" fontId="21" fillId="0" borderId="0" xfId="15" applyFont="1" applyAlignment="1">
      <alignment vertical="top" wrapText="1"/>
    </xf>
    <xf numFmtId="0" fontId="20" fillId="0" borderId="0" xfId="15" applyFont="1" applyAlignment="1">
      <alignment horizontal="center" vertical="center"/>
    </xf>
    <xf numFmtId="49" fontId="12" fillId="5" borderId="5" xfId="15" applyNumberFormat="1" applyFont="1" applyFill="1" applyBorder="1" applyAlignment="1">
      <alignment horizontal="center" vertical="center"/>
    </xf>
    <xf numFmtId="0" fontId="12" fillId="5" borderId="6" xfId="15" applyFont="1" applyFill="1" applyBorder="1" applyAlignment="1">
      <alignment horizontal="center" vertical="center"/>
    </xf>
    <xf numFmtId="0" fontId="12" fillId="5" borderId="7" xfId="15" applyFont="1" applyFill="1" applyBorder="1" applyAlignment="1">
      <alignment horizontal="center" vertical="center"/>
    </xf>
    <xf numFmtId="49" fontId="12" fillId="5" borderId="8" xfId="15" applyNumberFormat="1" applyFont="1" applyFill="1" applyBorder="1" applyAlignment="1">
      <alignment horizontal="center" vertical="center"/>
    </xf>
    <xf numFmtId="49" fontId="12" fillId="5" borderId="9" xfId="15" applyNumberFormat="1" applyFont="1" applyFill="1" applyBorder="1" applyAlignment="1">
      <alignment horizontal="center" vertical="center"/>
    </xf>
    <xf numFmtId="0" fontId="8" fillId="0" borderId="8" xfId="15" applyFont="1" applyBorder="1" applyAlignment="1">
      <alignment horizontal="left" vertical="center"/>
    </xf>
    <xf numFmtId="0" fontId="8" fillId="5" borderId="10" xfId="15" applyFont="1" applyFill="1" applyBorder="1" applyAlignment="1">
      <alignment vertical="center"/>
    </xf>
    <xf numFmtId="0" fontId="8" fillId="0" borderId="8" xfId="15" applyFont="1" applyBorder="1" applyAlignment="1">
      <alignment horizontal="center" vertical="center"/>
    </xf>
    <xf numFmtId="0" fontId="8" fillId="0" borderId="11" xfId="15" applyFont="1" applyBorder="1" applyAlignment="1">
      <alignment horizontal="center"/>
    </xf>
    <xf numFmtId="0" fontId="8" fillId="0" borderId="8" xfId="15" applyFont="1" applyBorder="1" applyAlignment="1">
      <alignment horizontal="center"/>
    </xf>
    <xf numFmtId="0" fontId="8" fillId="0" borderId="12" xfId="15" applyFont="1" applyBorder="1"/>
    <xf numFmtId="0" fontId="10" fillId="0" borderId="12" xfId="15" applyFont="1" applyBorder="1"/>
    <xf numFmtId="0" fontId="10" fillId="0" borderId="4" xfId="15" applyFont="1" applyBorder="1"/>
    <xf numFmtId="0" fontId="15" fillId="0" borderId="12" xfId="15" applyFont="1" applyBorder="1" applyAlignment="1">
      <alignment vertical="center"/>
    </xf>
    <xf numFmtId="0" fontId="15" fillId="0" borderId="4" xfId="15" applyFont="1" applyBorder="1" applyAlignment="1">
      <alignment vertical="center"/>
    </xf>
    <xf numFmtId="3" fontId="8" fillId="5" borderId="10" xfId="15" applyNumberFormat="1" applyFont="1" applyFill="1" applyBorder="1" applyAlignment="1">
      <alignment vertical="center"/>
    </xf>
    <xf numFmtId="3" fontId="10" fillId="0" borderId="4" xfId="15" applyNumberFormat="1" applyFont="1" applyBorder="1" applyAlignment="1" applyProtection="1">
      <alignment vertical="center"/>
      <protection locked="0"/>
    </xf>
    <xf numFmtId="3" fontId="10" fillId="0" borderId="12" xfId="15" applyNumberFormat="1" applyFont="1" applyBorder="1" applyAlignment="1" applyProtection="1">
      <alignment vertical="center"/>
      <protection locked="0"/>
    </xf>
    <xf numFmtId="0" fontId="10" fillId="0" borderId="12" xfId="15" applyFont="1" applyBorder="1" applyAlignment="1">
      <alignment vertical="center"/>
    </xf>
    <xf numFmtId="0" fontId="10" fillId="0" borderId="4" xfId="15" applyFont="1" applyBorder="1" applyAlignment="1">
      <alignment horizontal="left" vertical="center" indent="5"/>
    </xf>
    <xf numFmtId="0" fontId="10" fillId="0" borderId="4" xfId="15" applyFont="1" applyBorder="1" applyAlignment="1">
      <alignment horizontal="left" vertical="center" indent="12"/>
    </xf>
    <xf numFmtId="0" fontId="17" fillId="0" borderId="12" xfId="15" applyFont="1" applyBorder="1" applyAlignment="1">
      <alignment vertical="center"/>
    </xf>
    <xf numFmtId="3" fontId="10" fillId="0" borderId="13" xfId="15" applyNumberFormat="1" applyFont="1" applyBorder="1" applyAlignment="1" applyProtection="1">
      <alignment vertical="center"/>
      <protection locked="0"/>
    </xf>
    <xf numFmtId="0" fontId="15" fillId="6" borderId="13" xfId="15" applyFont="1" applyFill="1" applyBorder="1" applyAlignment="1">
      <alignment vertical="center"/>
    </xf>
    <xf numFmtId="0" fontId="10" fillId="5" borderId="14" xfId="15" applyFont="1" applyFill="1" applyBorder="1" applyAlignment="1">
      <alignment vertical="center"/>
    </xf>
    <xf numFmtId="0" fontId="10" fillId="5" borderId="9" xfId="15" applyFont="1" applyFill="1" applyBorder="1" applyAlignment="1">
      <alignment vertical="center"/>
    </xf>
    <xf numFmtId="3" fontId="8" fillId="5" borderId="1" xfId="15" applyNumberFormat="1" applyFont="1" applyFill="1" applyBorder="1" applyAlignment="1">
      <alignment vertical="center"/>
    </xf>
    <xf numFmtId="0" fontId="10" fillId="0" borderId="15" xfId="15" applyFont="1" applyBorder="1" applyAlignment="1">
      <alignment vertical="center"/>
    </xf>
    <xf numFmtId="0" fontId="8" fillId="0" borderId="12" xfId="15" applyFont="1" applyBorder="1" applyAlignment="1">
      <alignment vertical="center"/>
    </xf>
    <xf numFmtId="0" fontId="10" fillId="0" borderId="11" xfId="15" applyFont="1" applyBorder="1" applyAlignment="1">
      <alignment vertical="center"/>
    </xf>
    <xf numFmtId="0" fontId="8" fillId="5" borderId="4" xfId="15" applyFont="1" applyFill="1" applyBorder="1" applyAlignment="1">
      <alignment vertical="center"/>
    </xf>
    <xf numFmtId="0" fontId="10" fillId="0" borderId="4" xfId="15" applyFont="1" applyBorder="1" applyAlignment="1">
      <alignment vertical="center"/>
    </xf>
    <xf numFmtId="3" fontId="8" fillId="5" borderId="4" xfId="15" applyNumberFormat="1" applyFont="1" applyFill="1" applyBorder="1" applyAlignment="1">
      <alignment vertical="center"/>
    </xf>
    <xf numFmtId="3" fontId="10" fillId="0" borderId="16" xfId="15" applyNumberFormat="1" applyFont="1" applyBorder="1" applyAlignment="1" applyProtection="1">
      <alignment vertical="center"/>
      <protection locked="0"/>
    </xf>
    <xf numFmtId="0" fontId="10" fillId="5" borderId="14" xfId="15" applyFont="1" applyFill="1" applyBorder="1"/>
    <xf numFmtId="0" fontId="10" fillId="5" borderId="9" xfId="15" applyFont="1" applyFill="1" applyBorder="1"/>
    <xf numFmtId="0" fontId="10" fillId="5" borderId="7" xfId="15" applyFont="1" applyFill="1" applyBorder="1"/>
    <xf numFmtId="0" fontId="10" fillId="5" borderId="1" xfId="15" applyFont="1" applyFill="1" applyBorder="1"/>
    <xf numFmtId="3" fontId="8" fillId="5" borderId="7" xfId="15" applyNumberFormat="1" applyFont="1" applyFill="1" applyBorder="1" applyAlignment="1">
      <alignment vertical="center"/>
    </xf>
    <xf numFmtId="0" fontId="8" fillId="0" borderId="17" xfId="15" applyFont="1" applyBorder="1"/>
    <xf numFmtId="0" fontId="10" fillId="0" borderId="17" xfId="15" applyFont="1" applyBorder="1" applyAlignment="1">
      <alignment vertical="center"/>
    </xf>
    <xf numFmtId="0" fontId="8" fillId="0" borderId="4" xfId="15" applyFont="1" applyBorder="1"/>
    <xf numFmtId="0" fontId="15" fillId="0" borderId="4" xfId="15" applyFont="1" applyBorder="1"/>
    <xf numFmtId="0" fontId="10" fillId="7" borderId="12" xfId="15" applyFont="1" applyFill="1" applyBorder="1" applyAlignment="1">
      <alignment vertical="top"/>
    </xf>
    <xf numFmtId="0" fontId="10" fillId="7" borderId="4" xfId="15" applyFont="1" applyFill="1" applyBorder="1" applyAlignment="1">
      <alignment vertical="top"/>
    </xf>
    <xf numFmtId="3" fontId="8" fillId="7" borderId="18" xfId="15" applyNumberFormat="1" applyFont="1" applyFill="1" applyBorder="1" applyAlignment="1">
      <alignment vertical="center" wrapText="1"/>
    </xf>
    <xf numFmtId="3" fontId="10" fillId="7" borderId="18" xfId="15" applyNumberFormat="1" applyFont="1" applyFill="1" applyBorder="1" applyAlignment="1" applyProtection="1">
      <alignment vertical="center" wrapText="1"/>
      <protection locked="0"/>
    </xf>
    <xf numFmtId="3" fontId="10" fillId="7" borderId="4" xfId="15" applyNumberFormat="1" applyFont="1" applyFill="1" applyBorder="1" applyAlignment="1" applyProtection="1">
      <alignment vertical="center" wrapText="1"/>
      <protection locked="0"/>
    </xf>
    <xf numFmtId="0" fontId="10" fillId="0" borderId="12" xfId="15" applyFont="1" applyBorder="1" applyAlignment="1">
      <alignment vertical="top"/>
    </xf>
    <xf numFmtId="0" fontId="10" fillId="0" borderId="4" xfId="15" applyFont="1" applyBorder="1" applyAlignment="1">
      <alignment vertical="top"/>
    </xf>
    <xf numFmtId="3" fontId="8" fillId="0" borderId="18" xfId="15" applyNumberFormat="1" applyFont="1" applyBorder="1" applyAlignment="1">
      <alignment vertical="center" wrapText="1"/>
    </xf>
    <xf numFmtId="0" fontId="10" fillId="8" borderId="12" xfId="15" applyFont="1" applyFill="1" applyBorder="1" applyAlignment="1">
      <alignment vertical="top"/>
    </xf>
    <xf numFmtId="0" fontId="10" fillId="8" borderId="4" xfId="15" applyFont="1" applyFill="1" applyBorder="1" applyAlignment="1">
      <alignment vertical="top"/>
    </xf>
    <xf numFmtId="3" fontId="8" fillId="8" borderId="18" xfId="15" applyNumberFormat="1" applyFont="1" applyFill="1" applyBorder="1" applyAlignment="1">
      <alignment vertical="center" wrapText="1"/>
    </xf>
    <xf numFmtId="3" fontId="10" fillId="8" borderId="18" xfId="15" applyNumberFormat="1" applyFont="1" applyFill="1" applyBorder="1" applyAlignment="1" applyProtection="1">
      <alignment vertical="center" wrapText="1"/>
      <protection locked="0"/>
    </xf>
    <xf numFmtId="3" fontId="10" fillId="8" borderId="4" xfId="15" applyNumberFormat="1" applyFont="1" applyFill="1" applyBorder="1" applyAlignment="1" applyProtection="1">
      <alignment vertical="center" wrapText="1"/>
      <protection locked="0"/>
    </xf>
    <xf numFmtId="3" fontId="8" fillId="0" borderId="18" xfId="15" applyNumberFormat="1" applyFont="1" applyBorder="1" applyAlignment="1">
      <alignment vertical="center"/>
    </xf>
    <xf numFmtId="0" fontId="10" fillId="9" borderId="12" xfId="15" applyFont="1" applyFill="1" applyBorder="1" applyAlignment="1">
      <alignment vertical="top"/>
    </xf>
    <xf numFmtId="0" fontId="15" fillId="9" borderId="4" xfId="15" applyFont="1" applyFill="1" applyBorder="1" applyAlignment="1">
      <alignment vertical="top"/>
    </xf>
    <xf numFmtId="3" fontId="8" fillId="9" borderId="18" xfId="15" applyNumberFormat="1" applyFont="1" applyFill="1" applyBorder="1" applyAlignment="1">
      <alignment vertical="center" wrapText="1"/>
    </xf>
    <xf numFmtId="3" fontId="10" fillId="9" borderId="18" xfId="15" applyNumberFormat="1" applyFont="1" applyFill="1" applyBorder="1" applyAlignment="1" applyProtection="1">
      <alignment vertical="center" wrapText="1"/>
      <protection locked="0"/>
    </xf>
    <xf numFmtId="3" fontId="10" fillId="9" borderId="4" xfId="15" applyNumberFormat="1" applyFont="1" applyFill="1" applyBorder="1" applyAlignment="1" applyProtection="1">
      <alignment vertical="center" wrapText="1"/>
      <protection locked="0"/>
    </xf>
    <xf numFmtId="0" fontId="10" fillId="5" borderId="7" xfId="15" applyFont="1" applyFill="1" applyBorder="1" applyAlignment="1">
      <alignment vertical="top"/>
    </xf>
    <xf numFmtId="0" fontId="10" fillId="5" borderId="1" xfId="15" applyFont="1" applyFill="1" applyBorder="1" applyAlignment="1">
      <alignment vertical="top"/>
    </xf>
    <xf numFmtId="0" fontId="10" fillId="0" borderId="15" xfId="15" applyFont="1" applyBorder="1" applyAlignment="1">
      <alignment vertical="top"/>
    </xf>
    <xf numFmtId="3" fontId="10" fillId="0" borderId="19" xfId="15" applyNumberFormat="1" applyFont="1" applyBorder="1" applyAlignment="1">
      <alignment vertical="center"/>
    </xf>
    <xf numFmtId="3" fontId="10" fillId="0" borderId="15" xfId="15" applyNumberFormat="1" applyFont="1" applyBorder="1" applyAlignment="1">
      <alignment vertical="center"/>
    </xf>
    <xf numFmtId="0" fontId="8" fillId="0" borderId="12" xfId="15" applyFont="1" applyBorder="1" applyAlignment="1">
      <alignment vertical="top"/>
    </xf>
    <xf numFmtId="0" fontId="8" fillId="0" borderId="11" xfId="15" applyFont="1" applyBorder="1" applyAlignment="1">
      <alignment vertical="top"/>
    </xf>
    <xf numFmtId="3" fontId="10" fillId="0" borderId="4" xfId="15" applyNumberFormat="1" applyFont="1" applyBorder="1" applyAlignment="1">
      <alignment vertical="center"/>
    </xf>
    <xf numFmtId="3" fontId="10" fillId="0" borderId="12" xfId="15" applyNumberFormat="1" applyFont="1" applyBorder="1" applyAlignment="1">
      <alignment vertical="center"/>
    </xf>
    <xf numFmtId="0" fontId="10" fillId="10" borderId="12" xfId="15" applyFont="1" applyFill="1" applyBorder="1" applyAlignment="1">
      <alignment vertical="top"/>
    </xf>
    <xf numFmtId="0" fontId="10" fillId="10" borderId="4" xfId="15" applyFont="1" applyFill="1" applyBorder="1" applyAlignment="1">
      <alignment vertical="top"/>
    </xf>
    <xf numFmtId="3" fontId="8" fillId="10" borderId="18" xfId="15" applyNumberFormat="1" applyFont="1" applyFill="1" applyBorder="1" applyAlignment="1">
      <alignment vertical="center" wrapText="1"/>
    </xf>
    <xf numFmtId="0" fontId="10" fillId="8" borderId="12" xfId="15" applyFont="1" applyFill="1" applyBorder="1" applyAlignment="1">
      <alignment horizontal="center" vertical="top"/>
    </xf>
    <xf numFmtId="3" fontId="8" fillId="0" borderId="8" xfId="15" applyNumberFormat="1" applyFont="1" applyBorder="1" applyAlignment="1">
      <alignment vertical="center"/>
    </xf>
    <xf numFmtId="3" fontId="10" fillId="0" borderId="8" xfId="15" applyNumberFormat="1" applyFont="1" applyBorder="1" applyAlignment="1">
      <alignment vertical="center"/>
    </xf>
    <xf numFmtId="0" fontId="8" fillId="5" borderId="7" xfId="15" applyFont="1" applyFill="1" applyBorder="1"/>
    <xf numFmtId="0" fontId="8" fillId="5" borderId="1" xfId="15" applyFont="1" applyFill="1" applyBorder="1"/>
    <xf numFmtId="0" fontId="8" fillId="0" borderId="20" xfId="15" applyFont="1" applyBorder="1" applyAlignment="1">
      <alignment horizontal="center" vertical="center"/>
    </xf>
    <xf numFmtId="0" fontId="8" fillId="0" borderId="18" xfId="15" applyFont="1" applyBorder="1" applyAlignment="1">
      <alignment horizontal="center"/>
    </xf>
    <xf numFmtId="0" fontId="15" fillId="0" borderId="18" xfId="15" applyFont="1" applyBorder="1" applyAlignment="1">
      <alignment vertical="center"/>
    </xf>
    <xf numFmtId="0" fontId="15" fillId="0" borderId="12" xfId="15" quotePrefix="1" applyFont="1" applyBorder="1" applyAlignment="1">
      <alignment horizontal="center" vertical="center"/>
    </xf>
    <xf numFmtId="0" fontId="10" fillId="0" borderId="18" xfId="15" applyFont="1" applyBorder="1" applyAlignment="1">
      <alignment vertical="center"/>
    </xf>
    <xf numFmtId="0" fontId="10" fillId="0" borderId="12" xfId="15" applyFont="1" applyBorder="1" applyAlignment="1">
      <alignment horizontal="center" vertical="center"/>
    </xf>
    <xf numFmtId="0" fontId="10" fillId="0" borderId="12" xfId="15" applyFont="1" applyBorder="1" applyAlignment="1">
      <alignment vertical="center" wrapText="1"/>
    </xf>
    <xf numFmtId="0" fontId="15" fillId="6" borderId="20" xfId="15" applyFont="1" applyFill="1" applyBorder="1" applyAlignment="1">
      <alignment vertical="center"/>
    </xf>
    <xf numFmtId="0" fontId="8" fillId="5" borderId="21" xfId="15" applyFont="1" applyFill="1" applyBorder="1" applyAlignment="1">
      <alignment horizontal="left" vertical="center"/>
    </xf>
    <xf numFmtId="0" fontId="8" fillId="0" borderId="18" xfId="15" applyFont="1" applyBorder="1" applyAlignment="1">
      <alignment horizontal="center" vertical="center"/>
    </xf>
    <xf numFmtId="0" fontId="10" fillId="0" borderId="12" xfId="15" quotePrefix="1" applyFont="1" applyBorder="1" applyAlignment="1">
      <alignment horizontal="center" vertical="center"/>
    </xf>
    <xf numFmtId="0" fontId="10" fillId="6" borderId="21" xfId="15" applyFont="1" applyFill="1" applyBorder="1" applyAlignment="1">
      <alignment vertical="center"/>
    </xf>
    <xf numFmtId="0" fontId="8" fillId="5" borderId="6" xfId="15" applyFont="1" applyFill="1" applyBorder="1" applyAlignment="1">
      <alignment horizontal="left"/>
    </xf>
    <xf numFmtId="0" fontId="8" fillId="0" borderId="22" xfId="15" applyFont="1" applyBorder="1" applyAlignment="1">
      <alignment horizontal="center" vertical="top"/>
    </xf>
    <xf numFmtId="0" fontId="10" fillId="0" borderId="18" xfId="15" applyFont="1" applyBorder="1"/>
    <xf numFmtId="0" fontId="10" fillId="0" borderId="18" xfId="15" applyFont="1" applyBorder="1" applyAlignment="1">
      <alignment vertical="top"/>
    </xf>
    <xf numFmtId="0" fontId="10" fillId="0" borderId="12" xfId="15" applyFont="1" applyBorder="1" applyAlignment="1">
      <alignment horizontal="center" vertical="top"/>
    </xf>
    <xf numFmtId="0" fontId="10" fillId="7" borderId="12" xfId="15" applyFont="1" applyFill="1" applyBorder="1" applyAlignment="1">
      <alignment horizontal="center" vertical="top"/>
    </xf>
    <xf numFmtId="0" fontId="10" fillId="0" borderId="12" xfId="15" quotePrefix="1" applyFont="1" applyBorder="1" applyAlignment="1">
      <alignment horizontal="center" vertical="top"/>
    </xf>
    <xf numFmtId="0" fontId="8" fillId="5" borderId="6" xfId="15" applyFont="1" applyFill="1" applyBorder="1" applyAlignment="1">
      <alignment horizontal="left" vertical="top"/>
    </xf>
    <xf numFmtId="0" fontId="10" fillId="0" borderId="23" xfId="15" applyFont="1" applyBorder="1" applyAlignment="1">
      <alignment vertical="top"/>
    </xf>
    <xf numFmtId="0" fontId="10" fillId="0" borderId="15" xfId="15" applyFont="1" applyBorder="1" applyAlignment="1">
      <alignment horizontal="center" vertical="top"/>
    </xf>
    <xf numFmtId="0" fontId="8" fillId="0" borderId="18" xfId="15" applyFont="1" applyBorder="1" applyAlignment="1">
      <alignment horizontal="center" vertical="top"/>
    </xf>
    <xf numFmtId="0" fontId="10" fillId="10" borderId="12" xfId="15" applyFont="1" applyFill="1" applyBorder="1" applyAlignment="1">
      <alignment horizontal="center" vertical="top"/>
    </xf>
    <xf numFmtId="0" fontId="10" fillId="0" borderId="20" xfId="15" applyFont="1" applyBorder="1"/>
    <xf numFmtId="0" fontId="8" fillId="6" borderId="8" xfId="15" applyFont="1" applyFill="1" applyBorder="1" applyAlignment="1">
      <alignment horizontal="center"/>
    </xf>
    <xf numFmtId="0" fontId="10" fillId="6" borderId="4" xfId="15" applyFont="1" applyFill="1" applyBorder="1"/>
    <xf numFmtId="3" fontId="10" fillId="6" borderId="4" xfId="15" applyNumberFormat="1" applyFont="1" applyFill="1" applyBorder="1" applyAlignment="1" applyProtection="1">
      <alignment vertical="center"/>
      <protection locked="0"/>
    </xf>
    <xf numFmtId="3" fontId="10" fillId="6" borderId="13" xfId="15" applyNumberFormat="1" applyFont="1" applyFill="1" applyBorder="1" applyAlignment="1" applyProtection="1">
      <alignment vertical="center"/>
      <protection locked="0"/>
    </xf>
    <xf numFmtId="3" fontId="8" fillId="6" borderId="1" xfId="15" applyNumberFormat="1" applyFont="1" applyFill="1" applyBorder="1" applyAlignment="1">
      <alignment vertical="center"/>
    </xf>
    <xf numFmtId="0" fontId="10" fillId="6" borderId="4" xfId="15" applyFont="1" applyFill="1" applyBorder="1" applyAlignment="1">
      <alignment vertical="center"/>
    </xf>
    <xf numFmtId="0" fontId="10" fillId="0" borderId="21" xfId="15" applyFont="1" applyBorder="1"/>
    <xf numFmtId="0" fontId="10" fillId="0" borderId="14" xfId="15" applyFont="1" applyBorder="1"/>
    <xf numFmtId="0" fontId="18" fillId="0" borderId="9" xfId="15" applyFont="1" applyBorder="1"/>
    <xf numFmtId="0" fontId="18" fillId="0" borderId="14" xfId="15" applyFont="1" applyBorder="1"/>
    <xf numFmtId="0" fontId="4" fillId="14" borderId="0" xfId="15" applyFont="1" applyFill="1"/>
    <xf numFmtId="0" fontId="5" fillId="14" borderId="3" xfId="15" applyFont="1" applyFill="1" applyBorder="1" applyAlignment="1">
      <alignment horizontal="center"/>
    </xf>
    <xf numFmtId="3" fontId="10" fillId="15" borderId="4" xfId="15" applyNumberFormat="1" applyFont="1" applyFill="1" applyBorder="1" applyAlignment="1" applyProtection="1">
      <alignment vertical="center"/>
      <protection locked="0"/>
    </xf>
    <xf numFmtId="3" fontId="10" fillId="15" borderId="12" xfId="15" applyNumberFormat="1" applyFont="1" applyFill="1" applyBorder="1" applyAlignment="1" applyProtection="1">
      <alignment vertical="center"/>
      <protection locked="0"/>
    </xf>
    <xf numFmtId="0" fontId="21" fillId="0" borderId="0" xfId="15" applyFont="1"/>
    <xf numFmtId="0" fontId="9" fillId="0" borderId="0" xfId="0" applyFont="1" applyAlignment="1">
      <alignment horizontal="center"/>
    </xf>
    <xf numFmtId="3" fontId="3" fillId="0" borderId="0" xfId="0" applyNumberFormat="1" applyFont="1" applyAlignment="1" applyProtection="1">
      <alignment horizontal="center"/>
      <protection locked="0"/>
    </xf>
    <xf numFmtId="3" fontId="3" fillId="0" borderId="0" xfId="0" applyNumberFormat="1" applyFont="1" applyAlignment="1" applyProtection="1">
      <alignment horizontal="center" vertical="center"/>
      <protection locked="0"/>
    </xf>
    <xf numFmtId="0" fontId="26" fillId="0" borderId="0" xfId="0" applyFont="1" applyAlignment="1">
      <alignment vertical="top"/>
    </xf>
    <xf numFmtId="16" fontId="70" fillId="0" borderId="14" xfId="0" applyNumberFormat="1" applyFont="1" applyBorder="1" applyProtection="1">
      <protection locked="0"/>
    </xf>
    <xf numFmtId="165" fontId="70" fillId="0" borderId="0" xfId="0" applyNumberFormat="1" applyFont="1" applyAlignment="1" applyProtection="1">
      <alignment horizontal="right"/>
      <protection locked="0"/>
    </xf>
    <xf numFmtId="1" fontId="67" fillId="16" borderId="11" xfId="1" applyNumberFormat="1" applyFont="1" applyFill="1" applyBorder="1" applyAlignment="1" applyProtection="1">
      <alignment horizontal="center" vertical="center"/>
    </xf>
    <xf numFmtId="165" fontId="67" fillId="16" borderId="11" xfId="1" applyNumberFormat="1" applyFont="1" applyFill="1" applyBorder="1" applyAlignment="1" applyProtection="1">
      <alignment horizontal="right" vertical="center"/>
    </xf>
    <xf numFmtId="1" fontId="67" fillId="16" borderId="1" xfId="1" applyNumberFormat="1" applyFont="1" applyFill="1" applyBorder="1" applyAlignment="1" applyProtection="1">
      <alignment horizontal="center" vertical="center"/>
    </xf>
    <xf numFmtId="165" fontId="66" fillId="16" borderId="24" xfId="1" applyNumberFormat="1" applyFont="1" applyFill="1" applyBorder="1" applyAlignment="1" applyProtection="1">
      <alignment vertical="center"/>
    </xf>
    <xf numFmtId="1" fontId="67" fillId="0" borderId="25" xfId="1" applyNumberFormat="1" applyFont="1" applyFill="1" applyBorder="1" applyAlignment="1" applyProtection="1">
      <alignment horizontal="center" vertical="center"/>
    </xf>
    <xf numFmtId="165" fontId="67" fillId="0" borderId="25" xfId="1" applyNumberFormat="1" applyFont="1" applyFill="1" applyBorder="1" applyAlignment="1" applyProtection="1">
      <alignment horizontal="right" vertical="center"/>
    </xf>
    <xf numFmtId="1" fontId="67" fillId="0" borderId="26" xfId="1" applyNumberFormat="1" applyFont="1" applyFill="1" applyBorder="1" applyAlignment="1" applyProtection="1">
      <alignment horizontal="center" vertical="center"/>
    </xf>
    <xf numFmtId="165" fontId="67" fillId="0" borderId="26" xfId="1" applyNumberFormat="1" applyFont="1" applyFill="1" applyBorder="1" applyAlignment="1" applyProtection="1">
      <alignment horizontal="right" vertical="center"/>
    </xf>
    <xf numFmtId="165" fontId="66" fillId="16" borderId="27" xfId="1" applyNumberFormat="1" applyFont="1" applyFill="1" applyBorder="1" applyAlignment="1" applyProtection="1">
      <alignment vertical="center"/>
    </xf>
    <xf numFmtId="165" fontId="67" fillId="16" borderId="1" xfId="1" applyNumberFormat="1" applyFont="1" applyFill="1" applyBorder="1" applyAlignment="1" applyProtection="1">
      <alignment horizontal="right" vertical="center"/>
    </xf>
    <xf numFmtId="1" fontId="67" fillId="0" borderId="7" xfId="1" applyNumberFormat="1" applyFont="1" applyFill="1" applyBorder="1" applyAlignment="1" applyProtection="1">
      <alignment horizontal="center"/>
    </xf>
    <xf numFmtId="165" fontId="66" fillId="0" borderId="7" xfId="1" applyNumberFormat="1" applyFont="1" applyFill="1" applyBorder="1" applyAlignment="1" applyProtection="1">
      <alignment horizontal="right"/>
    </xf>
    <xf numFmtId="165" fontId="66" fillId="0" borderId="7" xfId="1" applyNumberFormat="1" applyFont="1" applyFill="1" applyBorder="1" applyProtection="1"/>
    <xf numFmtId="165" fontId="66" fillId="0" borderId="0" xfId="1" applyNumberFormat="1" applyFont="1" applyFill="1" applyBorder="1" applyProtection="1"/>
    <xf numFmtId="165" fontId="67" fillId="17" borderId="1" xfId="1" applyNumberFormat="1" applyFont="1" applyFill="1" applyBorder="1" applyAlignment="1" applyProtection="1">
      <alignment vertical="center"/>
    </xf>
    <xf numFmtId="165" fontId="66" fillId="0" borderId="7" xfId="1" applyNumberFormat="1" applyFont="1" applyBorder="1" applyAlignment="1" applyProtection="1">
      <alignment horizontal="right" vertical="center"/>
    </xf>
    <xf numFmtId="165" fontId="66" fillId="0" borderId="7" xfId="1" applyNumberFormat="1" applyFont="1" applyBorder="1" applyAlignment="1" applyProtection="1">
      <alignment vertical="center"/>
    </xf>
    <xf numFmtId="165" fontId="66" fillId="0" borderId="0" xfId="1" applyNumberFormat="1" applyFont="1" applyBorder="1" applyAlignment="1" applyProtection="1">
      <alignment vertical="center"/>
    </xf>
    <xf numFmtId="165" fontId="66" fillId="0" borderId="28" xfId="1" applyNumberFormat="1" applyFont="1" applyBorder="1" applyAlignment="1" applyProtection="1">
      <alignment vertical="center"/>
    </xf>
    <xf numFmtId="165" fontId="66" fillId="0" borderId="11" xfId="1" applyNumberFormat="1" applyFont="1" applyFill="1" applyBorder="1" applyAlignment="1" applyProtection="1">
      <alignment horizontal="right" vertical="center"/>
    </xf>
    <xf numFmtId="165" fontId="66" fillId="0" borderId="11" xfId="1" applyNumberFormat="1" applyFont="1" applyBorder="1" applyAlignment="1" applyProtection="1">
      <alignment vertical="center"/>
    </xf>
    <xf numFmtId="165" fontId="66" fillId="0" borderId="17" xfId="1" applyNumberFormat="1" applyFont="1" applyBorder="1" applyAlignment="1" applyProtection="1">
      <alignment vertical="center"/>
    </xf>
    <xf numFmtId="165" fontId="66" fillId="0" borderId="24" xfId="1" applyNumberFormat="1" applyFont="1" applyBorder="1" applyAlignment="1" applyProtection="1">
      <alignment vertical="center"/>
    </xf>
    <xf numFmtId="165" fontId="71" fillId="0" borderId="29" xfId="1" applyNumberFormat="1" applyFont="1" applyBorder="1" applyAlignment="1" applyProtection="1">
      <alignment vertical="center"/>
    </xf>
    <xf numFmtId="165" fontId="71" fillId="0" borderId="19" xfId="1" applyNumberFormat="1" applyFont="1" applyBorder="1" applyAlignment="1" applyProtection="1">
      <alignment vertical="center"/>
    </xf>
    <xf numFmtId="165" fontId="71" fillId="0" borderId="0" xfId="1" applyNumberFormat="1" applyFont="1" applyFill="1" applyBorder="1" applyAlignment="1" applyProtection="1">
      <alignment vertical="center"/>
    </xf>
    <xf numFmtId="165" fontId="67" fillId="16" borderId="1" xfId="1" applyNumberFormat="1" applyFont="1" applyFill="1" applyBorder="1" applyAlignment="1" applyProtection="1">
      <alignment vertical="center"/>
    </xf>
    <xf numFmtId="165" fontId="67" fillId="16" borderId="7" xfId="1" applyNumberFormat="1" applyFont="1" applyFill="1" applyBorder="1" applyAlignment="1" applyProtection="1">
      <alignment vertical="center"/>
    </xf>
    <xf numFmtId="165" fontId="72" fillId="16" borderId="7" xfId="1" applyNumberFormat="1" applyFont="1" applyFill="1" applyBorder="1" applyAlignment="1" applyProtection="1">
      <alignment vertical="center"/>
    </xf>
    <xf numFmtId="165" fontId="72" fillId="16" borderId="30" xfId="1" applyNumberFormat="1" applyFont="1" applyFill="1" applyBorder="1" applyAlignment="1" applyProtection="1">
      <alignment vertical="center"/>
    </xf>
    <xf numFmtId="165" fontId="67" fillId="0" borderId="7" xfId="1" applyNumberFormat="1" applyFont="1" applyBorder="1" applyAlignment="1" applyProtection="1">
      <alignment horizontal="right" vertical="center"/>
    </xf>
    <xf numFmtId="165" fontId="71" fillId="0" borderId="0" xfId="1" applyNumberFormat="1" applyFont="1" applyBorder="1" applyAlignment="1" applyProtection="1">
      <alignment vertical="center"/>
    </xf>
    <xf numFmtId="165" fontId="67" fillId="0" borderId="7" xfId="1" applyNumberFormat="1" applyFont="1" applyFill="1" applyBorder="1" applyAlignment="1" applyProtection="1">
      <alignment horizontal="right" vertical="center"/>
    </xf>
    <xf numFmtId="165" fontId="66" fillId="0" borderId="7" xfId="1" applyNumberFormat="1" applyFont="1" applyFill="1" applyBorder="1" applyAlignment="1" applyProtection="1">
      <alignment vertical="center"/>
    </xf>
    <xf numFmtId="165" fontId="71" fillId="0" borderId="7" xfId="1" applyNumberFormat="1" applyFont="1" applyFill="1" applyBorder="1" applyAlignment="1" applyProtection="1">
      <alignment vertical="center"/>
    </xf>
    <xf numFmtId="165" fontId="72" fillId="16" borderId="1" xfId="1" applyNumberFormat="1" applyFont="1" applyFill="1" applyBorder="1" applyAlignment="1" applyProtection="1">
      <alignment vertical="center"/>
    </xf>
    <xf numFmtId="1" fontId="67" fillId="0" borderId="0" xfId="0" applyNumberFormat="1" applyFont="1" applyAlignment="1">
      <alignment horizontal="center"/>
    </xf>
    <xf numFmtId="165" fontId="67" fillId="0" borderId="0" xfId="0" applyNumberFormat="1" applyFont="1" applyAlignment="1" applyProtection="1">
      <alignment horizontal="center"/>
      <protection locked="0"/>
    </xf>
    <xf numFmtId="0" fontId="67" fillId="0" borderId="0" xfId="0" applyFont="1" applyAlignment="1" applyProtection="1">
      <alignment horizontal="center"/>
      <protection locked="0"/>
    </xf>
    <xf numFmtId="43" fontId="67" fillId="0" borderId="0" xfId="1" applyFont="1" applyAlignment="1" applyProtection="1">
      <alignment horizontal="center"/>
      <protection locked="0"/>
    </xf>
    <xf numFmtId="165" fontId="66" fillId="11" borderId="24" xfId="1" applyNumberFormat="1" applyFont="1" applyFill="1" applyBorder="1" applyAlignment="1" applyProtection="1">
      <alignment vertical="center"/>
      <protection locked="0"/>
    </xf>
    <xf numFmtId="165" fontId="66" fillId="11" borderId="31" xfId="1" applyNumberFormat="1" applyFont="1" applyFill="1" applyBorder="1" applyAlignment="1" applyProtection="1">
      <alignment vertical="center"/>
      <protection locked="0"/>
    </xf>
    <xf numFmtId="165" fontId="66" fillId="11" borderId="30" xfId="1" applyNumberFormat="1" applyFont="1" applyFill="1" applyBorder="1" applyAlignment="1" applyProtection="1">
      <alignment vertical="center"/>
      <protection locked="0"/>
    </xf>
    <xf numFmtId="165" fontId="66" fillId="11" borderId="32" xfId="1" applyNumberFormat="1" applyFont="1" applyFill="1" applyBorder="1" applyAlignment="1" applyProtection="1">
      <alignment vertical="center"/>
      <protection locked="0"/>
    </xf>
    <xf numFmtId="1" fontId="69" fillId="13" borderId="55" xfId="0" applyNumberFormat="1" applyFont="1" applyFill="1" applyBorder="1" applyAlignment="1">
      <alignment horizontal="center"/>
    </xf>
    <xf numFmtId="0" fontId="68" fillId="13" borderId="55" xfId="0" applyFont="1" applyFill="1" applyBorder="1" applyAlignment="1">
      <alignment horizontal="right"/>
    </xf>
    <xf numFmtId="0" fontId="68" fillId="13" borderId="0" xfId="0" applyFont="1" applyFill="1" applyAlignment="1">
      <alignment horizontal="center"/>
    </xf>
    <xf numFmtId="0" fontId="70" fillId="0" borderId="14" xfId="0" applyFont="1" applyBorder="1" applyProtection="1">
      <protection locked="0"/>
    </xf>
    <xf numFmtId="0" fontId="70" fillId="0" borderId="0" xfId="0" applyFont="1" applyAlignment="1" applyProtection="1">
      <alignment horizontal="right"/>
      <protection locked="0"/>
    </xf>
    <xf numFmtId="0" fontId="67" fillId="0" borderId="33" xfId="0" applyFont="1" applyBorder="1" applyAlignment="1">
      <alignment horizontal="center" vertical="center"/>
    </xf>
    <xf numFmtId="1" fontId="67" fillId="0" borderId="11" xfId="0" applyNumberFormat="1" applyFont="1" applyBorder="1" applyAlignment="1">
      <alignment horizontal="center" vertical="center"/>
    </xf>
    <xf numFmtId="0" fontId="67" fillId="0" borderId="11" xfId="0" applyFont="1" applyBorder="1" applyAlignment="1">
      <alignment horizontal="right" vertical="center"/>
    </xf>
    <xf numFmtId="0" fontId="67" fillId="0" borderId="27" xfId="0" applyFont="1" applyBorder="1" applyAlignment="1">
      <alignment horizontal="center" vertical="center"/>
    </xf>
    <xf numFmtId="0" fontId="67" fillId="0" borderId="5" xfId="0" applyFont="1" applyBorder="1" applyAlignment="1">
      <alignment horizontal="center" vertical="center"/>
    </xf>
    <xf numFmtId="0" fontId="67" fillId="0" borderId="34" xfId="0" applyFont="1" applyBorder="1" applyAlignment="1">
      <alignment horizontal="center"/>
    </xf>
    <xf numFmtId="0" fontId="67" fillId="0" borderId="11" xfId="0" applyFont="1" applyBorder="1" applyAlignment="1">
      <alignment horizontal="center"/>
    </xf>
    <xf numFmtId="0" fontId="72" fillId="0" borderId="28" xfId="0" applyFont="1" applyBorder="1" applyAlignment="1">
      <alignment horizontal="center"/>
    </xf>
    <xf numFmtId="0" fontId="72" fillId="0" borderId="8" xfId="0" applyFont="1" applyBorder="1" applyAlignment="1">
      <alignment horizontal="center"/>
    </xf>
    <xf numFmtId="0" fontId="66" fillId="16" borderId="33" xfId="0" applyFont="1" applyFill="1" applyBorder="1" applyAlignment="1">
      <alignment vertical="center"/>
    </xf>
    <xf numFmtId="0" fontId="66" fillId="16" borderId="34" xfId="0" quotePrefix="1" applyFont="1" applyFill="1" applyBorder="1" applyAlignment="1">
      <alignment horizontal="center" vertical="center"/>
    </xf>
    <xf numFmtId="0" fontId="66" fillId="16" borderId="34" xfId="0" applyFont="1" applyFill="1" applyBorder="1" applyAlignment="1">
      <alignment vertical="center"/>
    </xf>
    <xf numFmtId="1" fontId="67" fillId="16" borderId="11" xfId="1" applyNumberFormat="1" applyFont="1" applyFill="1" applyBorder="1" applyAlignment="1">
      <alignment horizontal="center" vertical="center"/>
    </xf>
    <xf numFmtId="165" fontId="67" fillId="16" borderId="11" xfId="1" applyNumberFormat="1" applyFont="1" applyFill="1" applyBorder="1" applyAlignment="1">
      <alignment horizontal="right" vertical="center"/>
    </xf>
    <xf numFmtId="0" fontId="66" fillId="16" borderId="22" xfId="0" applyFont="1" applyFill="1" applyBorder="1" applyAlignment="1">
      <alignment vertical="center"/>
    </xf>
    <xf numFmtId="0" fontId="66" fillId="16" borderId="17" xfId="0" quotePrefix="1" applyFont="1" applyFill="1" applyBorder="1" applyAlignment="1">
      <alignment horizontal="center" vertical="center"/>
    </xf>
    <xf numFmtId="0" fontId="66" fillId="16" borderId="17" xfId="0" applyFont="1" applyFill="1" applyBorder="1" applyAlignment="1">
      <alignment vertical="center"/>
    </xf>
    <xf numFmtId="1" fontId="67" fillId="16" borderId="1" xfId="1" applyNumberFormat="1" applyFont="1" applyFill="1" applyBorder="1" applyAlignment="1">
      <alignment horizontal="center" vertical="center"/>
    </xf>
    <xf numFmtId="165" fontId="66" fillId="16" borderId="24" xfId="1" applyNumberFormat="1" applyFont="1" applyFill="1" applyBorder="1" applyAlignment="1">
      <alignment vertical="center"/>
    </xf>
    <xf numFmtId="0" fontId="66" fillId="0" borderId="35" xfId="0" applyFont="1" applyBorder="1" applyAlignment="1">
      <alignment vertical="center"/>
    </xf>
    <xf numFmtId="0" fontId="66" fillId="0" borderId="20" xfId="0" applyFont="1" applyBorder="1" applyAlignment="1">
      <alignment vertical="center"/>
    </xf>
    <xf numFmtId="0" fontId="66" fillId="0" borderId="36" xfId="0" applyFont="1" applyBorder="1" applyAlignment="1">
      <alignment vertical="center"/>
    </xf>
    <xf numFmtId="1" fontId="67" fillId="0" borderId="25" xfId="1" applyNumberFormat="1" applyFont="1" applyBorder="1" applyAlignment="1">
      <alignment horizontal="center" vertical="center"/>
    </xf>
    <xf numFmtId="165" fontId="67" fillId="0" borderId="25" xfId="1" applyNumberFormat="1" applyFont="1" applyBorder="1" applyAlignment="1">
      <alignment horizontal="right" vertical="center"/>
    </xf>
    <xf numFmtId="0" fontId="66" fillId="0" borderId="23" xfId="0" applyFont="1" applyBorder="1" applyAlignment="1">
      <alignment vertical="center"/>
    </xf>
    <xf numFmtId="0" fontId="66" fillId="0" borderId="15" xfId="0" applyFont="1" applyBorder="1" applyAlignment="1">
      <alignment horizontal="center" vertical="center"/>
    </xf>
    <xf numFmtId="0" fontId="66" fillId="0" borderId="15" xfId="0" applyFont="1" applyBorder="1" applyAlignment="1">
      <alignment vertical="center"/>
    </xf>
    <xf numFmtId="0" fontId="66" fillId="0" borderId="37" xfId="0" applyFont="1" applyBorder="1" applyAlignment="1">
      <alignment vertical="center"/>
    </xf>
    <xf numFmtId="1" fontId="67" fillId="0" borderId="26" xfId="1" applyNumberFormat="1" applyFont="1" applyBorder="1" applyAlignment="1">
      <alignment horizontal="center" vertical="center"/>
    </xf>
    <xf numFmtId="165" fontId="67" fillId="0" borderId="26" xfId="1" applyNumberFormat="1" applyFont="1" applyBorder="1" applyAlignment="1">
      <alignment horizontal="right" vertical="center"/>
    </xf>
    <xf numFmtId="0" fontId="24" fillId="16" borderId="34" xfId="0" applyFont="1" applyFill="1" applyBorder="1" applyAlignment="1">
      <alignment vertical="center"/>
    </xf>
    <xf numFmtId="165" fontId="66" fillId="16" borderId="27" xfId="1" applyNumberFormat="1" applyFont="1" applyFill="1" applyBorder="1" applyAlignment="1">
      <alignment vertical="center"/>
    </xf>
    <xf numFmtId="0" fontId="66" fillId="16" borderId="6" xfId="0" applyFont="1" applyFill="1" applyBorder="1" applyAlignment="1">
      <alignment vertical="center"/>
    </xf>
    <xf numFmtId="0" fontId="66" fillId="16" borderId="7" xfId="0" quotePrefix="1" applyFont="1" applyFill="1" applyBorder="1" applyAlignment="1">
      <alignment horizontal="center" vertical="center"/>
    </xf>
    <xf numFmtId="0" fontId="66" fillId="16" borderId="7" xfId="0" applyFont="1" applyFill="1" applyBorder="1" applyAlignment="1">
      <alignment vertical="center"/>
    </xf>
    <xf numFmtId="165" fontId="67" fillId="16" borderId="1" xfId="1" applyNumberFormat="1" applyFont="1" applyFill="1" applyBorder="1" applyAlignment="1">
      <alignment horizontal="right" vertical="center"/>
    </xf>
    <xf numFmtId="0" fontId="67" fillId="0" borderId="33" xfId="0" applyFont="1" applyBorder="1" applyAlignment="1">
      <alignment horizontal="left" vertical="center"/>
    </xf>
    <xf numFmtId="0" fontId="66" fillId="0" borderId="34" xfId="0" applyFont="1" applyBorder="1" applyAlignment="1">
      <alignment vertical="center"/>
    </xf>
    <xf numFmtId="1" fontId="67" fillId="0" borderId="34" xfId="0" applyNumberFormat="1" applyFont="1" applyBorder="1" applyAlignment="1">
      <alignment horizontal="center" vertical="center"/>
    </xf>
    <xf numFmtId="0" fontId="67" fillId="0" borderId="34" xfId="0" applyFont="1" applyBorder="1" applyAlignment="1">
      <alignment horizontal="right" vertical="center"/>
    </xf>
    <xf numFmtId="0" fontId="67" fillId="0" borderId="34" xfId="0" applyFont="1" applyBorder="1" applyAlignment="1">
      <alignment vertical="center"/>
    </xf>
    <xf numFmtId="0" fontId="67" fillId="0" borderId="0" xfId="0" applyFont="1" applyAlignment="1">
      <alignment vertical="center"/>
    </xf>
    <xf numFmtId="0" fontId="67" fillId="0" borderId="28" xfId="0" applyFont="1" applyBorder="1" applyAlignment="1">
      <alignment vertical="center"/>
    </xf>
    <xf numFmtId="1" fontId="67" fillId="0" borderId="15" xfId="0" applyNumberFormat="1" applyFont="1" applyBorder="1" applyAlignment="1">
      <alignment horizontal="center" vertical="center"/>
    </xf>
    <xf numFmtId="0" fontId="66" fillId="0" borderId="15" xfId="0" applyFont="1" applyBorder="1" applyAlignment="1">
      <alignment horizontal="right" vertical="center"/>
    </xf>
    <xf numFmtId="0" fontId="66" fillId="0" borderId="29" xfId="0" applyFont="1" applyBorder="1" applyAlignment="1">
      <alignment vertical="center"/>
    </xf>
    <xf numFmtId="0" fontId="67" fillId="0" borderId="6" xfId="0" applyFont="1" applyBorder="1" applyAlignment="1">
      <alignment horizontal="left"/>
    </xf>
    <xf numFmtId="0" fontId="66" fillId="0" borderId="7" xfId="0" applyFont="1" applyBorder="1"/>
    <xf numFmtId="1" fontId="67" fillId="0" borderId="7" xfId="1" applyNumberFormat="1" applyFont="1" applyBorder="1" applyAlignment="1">
      <alignment horizontal="center"/>
    </xf>
    <xf numFmtId="165" fontId="66" fillId="0" borderId="7" xfId="1" applyNumberFormat="1" applyFont="1" applyBorder="1" applyAlignment="1">
      <alignment horizontal="right"/>
    </xf>
    <xf numFmtId="165" fontId="66" fillId="0" borderId="7" xfId="1" applyNumberFormat="1" applyFont="1" applyBorder="1"/>
    <xf numFmtId="165" fontId="66" fillId="0" borderId="0" xfId="1" applyNumberFormat="1" applyFont="1"/>
    <xf numFmtId="0" fontId="67" fillId="17" borderId="6" xfId="0" applyFont="1" applyFill="1" applyBorder="1" applyAlignment="1">
      <alignment horizontal="left"/>
    </xf>
    <xf numFmtId="0" fontId="66" fillId="17" borderId="7" xfId="0" applyFont="1" applyFill="1" applyBorder="1"/>
    <xf numFmtId="165" fontId="67" fillId="17" borderId="1" xfId="1" applyNumberFormat="1" applyFont="1" applyFill="1" applyBorder="1" applyAlignment="1">
      <alignment vertical="center"/>
    </xf>
    <xf numFmtId="0" fontId="66" fillId="0" borderId="6" xfId="0" applyFont="1" applyBorder="1"/>
    <xf numFmtId="1" fontId="67" fillId="0" borderId="7" xfId="0" applyNumberFormat="1" applyFont="1" applyBorder="1" applyAlignment="1">
      <alignment horizontal="center" vertical="center"/>
    </xf>
    <xf numFmtId="165" fontId="66" fillId="0" borderId="7" xfId="1" applyNumberFormat="1" applyFont="1" applyBorder="1" applyAlignment="1">
      <alignment horizontal="right" vertical="center"/>
    </xf>
    <xf numFmtId="165" fontId="66" fillId="0" borderId="7" xfId="1" applyNumberFormat="1" applyFont="1" applyBorder="1" applyAlignment="1">
      <alignment vertical="center"/>
    </xf>
    <xf numFmtId="165" fontId="66" fillId="0" borderId="0" xfId="1" applyNumberFormat="1" applyFont="1" applyAlignment="1">
      <alignment vertical="center"/>
    </xf>
    <xf numFmtId="165" fontId="66" fillId="0" borderId="28" xfId="1" applyNumberFormat="1" applyFont="1" applyBorder="1" applyAlignment="1">
      <alignment vertical="center"/>
    </xf>
    <xf numFmtId="0" fontId="67" fillId="0" borderId="22" xfId="0" applyFont="1" applyBorder="1" applyAlignment="1">
      <alignment horizontal="center" vertical="top"/>
    </xf>
    <xf numFmtId="0" fontId="67" fillId="0" borderId="17" xfId="0" applyFont="1" applyBorder="1" applyAlignment="1">
      <alignment vertical="top"/>
    </xf>
    <xf numFmtId="0" fontId="67" fillId="0" borderId="17" xfId="0" applyFont="1" applyBorder="1"/>
    <xf numFmtId="165" fontId="66" fillId="0" borderId="11" xfId="1" applyNumberFormat="1" applyFont="1" applyBorder="1" applyAlignment="1">
      <alignment horizontal="right" vertical="center"/>
    </xf>
    <xf numFmtId="165" fontId="66" fillId="0" borderId="11" xfId="1" applyNumberFormat="1" applyFont="1" applyBorder="1" applyAlignment="1">
      <alignment vertical="center"/>
    </xf>
    <xf numFmtId="165" fontId="66" fillId="0" borderId="17" xfId="1" applyNumberFormat="1" applyFont="1" applyBorder="1" applyAlignment="1">
      <alignment vertical="center"/>
    </xf>
    <xf numFmtId="165" fontId="66" fillId="0" borderId="24" xfId="1" applyNumberFormat="1" applyFont="1" applyBorder="1" applyAlignment="1">
      <alignment vertical="center"/>
    </xf>
    <xf numFmtId="165" fontId="71" fillId="0" borderId="29" xfId="1" applyNumberFormat="1" applyFont="1" applyBorder="1" applyAlignment="1">
      <alignment vertical="center"/>
    </xf>
    <xf numFmtId="165" fontId="71" fillId="0" borderId="19" xfId="1" applyNumberFormat="1" applyFont="1" applyBorder="1" applyAlignment="1">
      <alignment vertical="center"/>
    </xf>
    <xf numFmtId="165" fontId="71" fillId="0" borderId="0" xfId="1" applyNumberFormat="1" applyFont="1" applyAlignment="1">
      <alignment vertical="center"/>
    </xf>
    <xf numFmtId="0" fontId="67" fillId="16" borderId="6" xfId="0" applyFont="1" applyFill="1" applyBorder="1" applyAlignment="1">
      <alignment horizontal="left"/>
    </xf>
    <xf numFmtId="0" fontId="66" fillId="16" borderId="7" xfId="0" applyFont="1" applyFill="1" applyBorder="1"/>
    <xf numFmtId="1" fontId="67" fillId="16" borderId="1" xfId="0" applyNumberFormat="1" applyFont="1" applyFill="1" applyBorder="1" applyAlignment="1">
      <alignment horizontal="center" vertical="center"/>
    </xf>
    <xf numFmtId="165" fontId="67" fillId="16" borderId="1" xfId="1" applyNumberFormat="1" applyFont="1" applyFill="1" applyBorder="1" applyAlignment="1">
      <alignment vertical="center"/>
    </xf>
    <xf numFmtId="165" fontId="67" fillId="16" borderId="7" xfId="1" applyNumberFormat="1" applyFont="1" applyFill="1" applyBorder="1" applyAlignment="1">
      <alignment vertical="center"/>
    </xf>
    <xf numFmtId="165" fontId="72" fillId="16" borderId="7" xfId="1" applyNumberFormat="1" applyFont="1" applyFill="1" applyBorder="1" applyAlignment="1">
      <alignment vertical="center"/>
    </xf>
    <xf numFmtId="165" fontId="72" fillId="16" borderId="30" xfId="1" applyNumberFormat="1" applyFont="1" applyFill="1" applyBorder="1" applyAlignment="1">
      <alignment vertical="center"/>
    </xf>
    <xf numFmtId="0" fontId="67" fillId="0" borderId="7" xfId="0" applyFont="1" applyBorder="1"/>
    <xf numFmtId="165" fontId="67" fillId="0" borderId="7" xfId="1" applyNumberFormat="1" applyFont="1" applyBorder="1" applyAlignment="1">
      <alignment horizontal="right" vertical="center"/>
    </xf>
    <xf numFmtId="0" fontId="67" fillId="0" borderId="7" xfId="0" applyFont="1" applyBorder="1" applyAlignment="1">
      <alignment horizontal="left"/>
    </xf>
    <xf numFmtId="165" fontId="71" fillId="0" borderId="7" xfId="1" applyNumberFormat="1" applyFont="1" applyBorder="1" applyAlignment="1">
      <alignment vertical="center"/>
    </xf>
    <xf numFmtId="0" fontId="67" fillId="16" borderId="7" xfId="0" applyFont="1" applyFill="1" applyBorder="1"/>
    <xf numFmtId="165" fontId="72" fillId="16" borderId="1" xfId="1" applyNumberFormat="1" applyFont="1" applyFill="1" applyBorder="1" applyAlignment="1">
      <alignment vertical="center"/>
    </xf>
    <xf numFmtId="0" fontId="66" fillId="0" borderId="34" xfId="0" applyFont="1" applyBorder="1"/>
    <xf numFmtId="1" fontId="67" fillId="0" borderId="34" xfId="0" applyNumberFormat="1" applyFont="1" applyBorder="1" applyAlignment="1">
      <alignment horizontal="center"/>
    </xf>
    <xf numFmtId="0" fontId="66" fillId="0" borderId="34" xfId="0" applyFont="1" applyBorder="1" applyAlignment="1">
      <alignment horizontal="right"/>
    </xf>
    <xf numFmtId="1" fontId="67" fillId="0" borderId="0" xfId="0" applyNumberFormat="1" applyFont="1" applyAlignment="1">
      <alignment horizontal="center" vertical="top"/>
    </xf>
    <xf numFmtId="0" fontId="66" fillId="0" borderId="0" xfId="0" applyFont="1" applyAlignment="1">
      <alignment horizontal="right" vertical="top"/>
    </xf>
    <xf numFmtId="0" fontId="73" fillId="0" borderId="0" xfId="0" applyFont="1" applyAlignment="1">
      <alignment horizontal="left"/>
    </xf>
    <xf numFmtId="0" fontId="67" fillId="16" borderId="6" xfId="0" applyFont="1" applyFill="1" applyBorder="1" applyAlignment="1">
      <alignment horizontal="left" vertical="center"/>
    </xf>
    <xf numFmtId="0" fontId="66" fillId="16" borderId="30" xfId="0" applyFont="1" applyFill="1" applyBorder="1"/>
    <xf numFmtId="0" fontId="74" fillId="0" borderId="0" xfId="0" applyFont="1" applyAlignment="1">
      <alignment horizontal="center" vertical="top"/>
    </xf>
    <xf numFmtId="1" fontId="67" fillId="0" borderId="0" xfId="0" applyNumberFormat="1" applyFont="1" applyAlignment="1">
      <alignment horizontal="center" vertical="top" wrapText="1"/>
    </xf>
    <xf numFmtId="0" fontId="66" fillId="0" borderId="0" xfId="0" applyFont="1" applyAlignment="1">
      <alignment horizontal="right" vertical="top" wrapText="1"/>
    </xf>
    <xf numFmtId="0" fontId="66" fillId="0" borderId="0" xfId="0" applyFont="1" applyAlignment="1">
      <alignment vertical="top" wrapText="1"/>
    </xf>
    <xf numFmtId="0" fontId="74" fillId="0" borderId="0" xfId="0" applyFont="1" applyAlignment="1">
      <alignment horizontal="center" vertical="center"/>
    </xf>
    <xf numFmtId="0" fontId="67" fillId="0" borderId="0" xfId="0" applyFont="1" applyAlignment="1">
      <alignment horizontal="center"/>
    </xf>
    <xf numFmtId="0" fontId="4" fillId="5" borderId="7" xfId="0" applyFont="1" applyFill="1" applyBorder="1"/>
    <xf numFmtId="0" fontId="4" fillId="5" borderId="30" xfId="0" applyFont="1" applyFill="1" applyBorder="1"/>
    <xf numFmtId="0" fontId="9" fillId="0" borderId="0" xfId="0" applyFont="1" applyAlignment="1" applyProtection="1">
      <alignment horizontal="center"/>
      <protection locked="0"/>
    </xf>
    <xf numFmtId="0" fontId="9" fillId="0" borderId="0" xfId="0" applyFont="1" applyAlignment="1" applyProtection="1">
      <alignment horizontal="right"/>
      <protection locked="0"/>
    </xf>
    <xf numFmtId="1" fontId="9" fillId="0" borderId="0" xfId="0" applyNumberFormat="1" applyFont="1" applyAlignment="1" applyProtection="1">
      <alignment horizontal="center"/>
      <protection locked="0"/>
    </xf>
    <xf numFmtId="4" fontId="66" fillId="0" borderId="8" xfId="0" applyNumberFormat="1" applyFont="1" applyBorder="1"/>
    <xf numFmtId="4" fontId="66" fillId="0" borderId="0" xfId="0" applyNumberFormat="1" applyFont="1"/>
    <xf numFmtId="3" fontId="4" fillId="0" borderId="0" xfId="0" applyNumberFormat="1" applyFont="1" applyProtection="1">
      <protection locked="0"/>
    </xf>
    <xf numFmtId="4" fontId="4" fillId="0" borderId="0" xfId="0" applyNumberFormat="1" applyFont="1" applyProtection="1">
      <protection locked="0"/>
    </xf>
    <xf numFmtId="4" fontId="0" fillId="0" borderId="0" xfId="0" applyNumberFormat="1"/>
    <xf numFmtId="164" fontId="4" fillId="0" borderId="0" xfId="0" applyNumberFormat="1" applyFont="1" applyAlignment="1" applyProtection="1">
      <alignment horizontal="right"/>
      <protection locked="0"/>
    </xf>
    <xf numFmtId="0" fontId="9" fillId="18" borderId="1" xfId="0" applyFont="1" applyFill="1" applyBorder="1" applyAlignment="1">
      <alignment horizontal="center" vertical="center" wrapText="1"/>
    </xf>
    <xf numFmtId="0" fontId="37" fillId="18" borderId="1" xfId="0" applyFont="1" applyFill="1" applyBorder="1" applyAlignment="1">
      <alignment horizontal="center" vertical="center"/>
    </xf>
    <xf numFmtId="1" fontId="29" fillId="4" borderId="3" xfId="0" applyNumberFormat="1" applyFont="1" applyFill="1" applyBorder="1" applyAlignment="1">
      <alignment horizontal="center"/>
    </xf>
    <xf numFmtId="0" fontId="28" fillId="4" borderId="3" xfId="0" applyFont="1" applyFill="1" applyBorder="1" applyAlignment="1">
      <alignment horizontal="right"/>
    </xf>
    <xf numFmtId="0" fontId="28" fillId="4" borderId="0" xfId="0" applyFont="1" applyFill="1" applyAlignment="1">
      <alignment horizontal="center"/>
    </xf>
    <xf numFmtId="3" fontId="9" fillId="0" borderId="0" xfId="0" applyNumberFormat="1" applyFont="1" applyAlignment="1" applyProtection="1">
      <alignment horizontal="center"/>
      <protection locked="0"/>
    </xf>
    <xf numFmtId="0" fontId="33" fillId="0" borderId="0" xfId="0" applyFont="1" applyAlignment="1" applyProtection="1">
      <alignment horizontal="right"/>
      <protection locked="0"/>
    </xf>
    <xf numFmtId="49" fontId="9" fillId="18" borderId="20" xfId="0" applyNumberFormat="1" applyFont="1" applyFill="1" applyBorder="1" applyAlignment="1">
      <alignment horizontal="center" vertical="center"/>
    </xf>
    <xf numFmtId="49" fontId="9" fillId="18" borderId="0" xfId="0" applyNumberFormat="1" applyFont="1" applyFill="1" applyAlignment="1">
      <alignment horizontal="center" vertical="center"/>
    </xf>
    <xf numFmtId="1" fontId="9" fillId="18" borderId="8" xfId="0" applyNumberFormat="1" applyFont="1" applyFill="1" applyBorder="1" applyAlignment="1">
      <alignment horizontal="center" vertical="center"/>
    </xf>
    <xf numFmtId="0" fontId="9" fillId="18" borderId="8" xfId="0" applyFont="1" applyFill="1" applyBorder="1" applyAlignment="1">
      <alignment horizontal="center" vertical="center"/>
    </xf>
    <xf numFmtId="0" fontId="9" fillId="0" borderId="33" xfId="0" applyFont="1" applyBorder="1" applyAlignment="1">
      <alignment horizontal="center" vertical="center"/>
    </xf>
    <xf numFmtId="1" fontId="9" fillId="0" borderId="11" xfId="0" applyNumberFormat="1" applyFont="1" applyBorder="1" applyAlignment="1">
      <alignment horizontal="center" vertical="center"/>
    </xf>
    <xf numFmtId="0" fontId="9" fillId="0" borderId="11" xfId="0" applyFont="1" applyBorder="1" applyAlignment="1">
      <alignment horizontal="right" vertical="center"/>
    </xf>
    <xf numFmtId="0" fontId="9" fillId="0" borderId="5" xfId="0" applyFont="1" applyBorder="1" applyAlignment="1">
      <alignment horizontal="center" vertical="center"/>
    </xf>
    <xf numFmtId="0" fontId="9" fillId="0" borderId="34" xfId="0" applyFont="1" applyBorder="1" applyAlignment="1">
      <alignment horizontal="center"/>
    </xf>
    <xf numFmtId="0" fontId="9" fillId="0" borderId="11" xfId="0" applyFont="1" applyBorder="1" applyAlignment="1">
      <alignment horizontal="center"/>
    </xf>
    <xf numFmtId="0" fontId="37" fillId="0" borderId="28" xfId="0" applyFont="1" applyBorder="1" applyAlignment="1">
      <alignment horizontal="center"/>
    </xf>
    <xf numFmtId="0" fontId="37" fillId="0" borderId="8" xfId="0" applyFont="1" applyBorder="1" applyAlignment="1">
      <alignment horizontal="center"/>
    </xf>
    <xf numFmtId="0" fontId="4" fillId="5" borderId="20" xfId="0" applyFont="1" applyFill="1" applyBorder="1" applyAlignment="1">
      <alignment vertical="center"/>
    </xf>
    <xf numFmtId="0" fontId="4" fillId="5" borderId="0" xfId="0" quotePrefix="1" applyFont="1" applyFill="1" applyAlignment="1">
      <alignment horizontal="center" vertical="center"/>
    </xf>
    <xf numFmtId="0" fontId="4" fillId="5" borderId="0" xfId="0" applyFont="1" applyFill="1" applyAlignment="1">
      <alignment vertical="center"/>
    </xf>
    <xf numFmtId="0" fontId="4" fillId="0" borderId="35" xfId="0" applyFont="1" applyBorder="1" applyAlignment="1">
      <alignment vertical="center"/>
    </xf>
    <xf numFmtId="0" fontId="4" fillId="0" borderId="20" xfId="0" applyFont="1" applyBorder="1" applyAlignment="1">
      <alignment vertical="center"/>
    </xf>
    <xf numFmtId="0" fontId="4" fillId="0" borderId="36" xfId="0" applyFont="1" applyBorder="1" applyAlignment="1">
      <alignment vertical="center"/>
    </xf>
    <xf numFmtId="0" fontId="4" fillId="0" borderId="23" xfId="0" applyFont="1" applyBorder="1" applyAlignment="1">
      <alignment vertical="center"/>
    </xf>
    <xf numFmtId="0" fontId="4" fillId="0" borderId="15" xfId="0" applyFont="1" applyBorder="1" applyAlignment="1">
      <alignment horizontal="center" vertical="center"/>
    </xf>
    <xf numFmtId="0" fontId="4" fillId="0" borderId="15" xfId="0" applyFont="1" applyBorder="1" applyAlignment="1">
      <alignment vertical="center"/>
    </xf>
    <xf numFmtId="0" fontId="4" fillId="0" borderId="37" xfId="0" applyFont="1" applyBorder="1" applyAlignment="1">
      <alignment vertical="center"/>
    </xf>
    <xf numFmtId="0" fontId="4" fillId="5" borderId="33" xfId="0" applyFont="1" applyFill="1" applyBorder="1" applyAlignment="1">
      <alignment vertical="center"/>
    </xf>
    <xf numFmtId="0" fontId="4" fillId="5" borderId="34" xfId="0" quotePrefix="1" applyFont="1" applyFill="1" applyBorder="1" applyAlignment="1">
      <alignment horizontal="center" vertical="center"/>
    </xf>
    <xf numFmtId="0" fontId="4" fillId="5" borderId="34" xfId="0" applyFont="1" applyFill="1" applyBorder="1" applyAlignment="1">
      <alignment vertical="center"/>
    </xf>
    <xf numFmtId="0" fontId="9" fillId="0" borderId="33" xfId="0" applyFont="1" applyBorder="1" applyAlignment="1">
      <alignment horizontal="left" vertical="center"/>
    </xf>
    <xf numFmtId="0" fontId="4" fillId="0" borderId="34" xfId="0" applyFont="1" applyBorder="1" applyAlignment="1">
      <alignment vertical="center"/>
    </xf>
    <xf numFmtId="1" fontId="9" fillId="0" borderId="34" xfId="0" applyNumberFormat="1" applyFont="1" applyBorder="1" applyAlignment="1">
      <alignment horizontal="center" vertical="center"/>
    </xf>
    <xf numFmtId="0" fontId="9" fillId="0" borderId="34" xfId="0" applyFont="1" applyBorder="1" applyAlignment="1">
      <alignment horizontal="right" vertical="center"/>
    </xf>
    <xf numFmtId="0" fontId="9" fillId="0" borderId="0" xfId="0" applyFont="1" applyAlignment="1">
      <alignment vertical="center"/>
    </xf>
    <xf numFmtId="0" fontId="9" fillId="0" borderId="28" xfId="0" applyFont="1" applyBorder="1" applyAlignment="1">
      <alignment vertical="center"/>
    </xf>
    <xf numFmtId="1" fontId="9" fillId="0" borderId="0" xfId="0" applyNumberFormat="1" applyFont="1" applyAlignment="1">
      <alignment horizontal="center" vertical="center"/>
    </xf>
    <xf numFmtId="0" fontId="4" fillId="0" borderId="0" xfId="0" applyFont="1" applyAlignment="1">
      <alignment horizontal="right" vertical="center"/>
    </xf>
    <xf numFmtId="0" fontId="4" fillId="0" borderId="28" xfId="0" applyFont="1" applyBorder="1" applyAlignment="1">
      <alignment vertical="center"/>
    </xf>
    <xf numFmtId="0" fontId="9" fillId="19" borderId="22" xfId="0" applyFont="1" applyFill="1" applyBorder="1" applyAlignment="1">
      <alignment horizontal="center" vertical="center"/>
    </xf>
    <xf numFmtId="0" fontId="9" fillId="19" borderId="17" xfId="0" applyFont="1" applyFill="1" applyBorder="1" applyAlignment="1">
      <alignment horizontal="left" vertical="center"/>
    </xf>
    <xf numFmtId="0" fontId="9" fillId="19" borderId="17" xfId="0" applyFont="1" applyFill="1" applyBorder="1" applyAlignment="1">
      <alignment horizontal="center" vertical="center"/>
    </xf>
    <xf numFmtId="0" fontId="9" fillId="0" borderId="6" xfId="0" applyFont="1" applyBorder="1" applyAlignment="1">
      <alignment horizontal="left"/>
    </xf>
    <xf numFmtId="0" fontId="4" fillId="0" borderId="7" xfId="0" applyFont="1" applyBorder="1"/>
    <xf numFmtId="0" fontId="9" fillId="5" borderId="6" xfId="0" applyFont="1" applyFill="1" applyBorder="1" applyAlignment="1">
      <alignment horizontal="left"/>
    </xf>
    <xf numFmtId="0" fontId="4" fillId="0" borderId="6" xfId="0" applyFont="1" applyBorder="1"/>
    <xf numFmtId="1" fontId="9" fillId="0" borderId="7" xfId="0" applyNumberFormat="1" applyFont="1" applyBorder="1" applyAlignment="1">
      <alignment horizontal="center" vertical="center"/>
    </xf>
    <xf numFmtId="0" fontId="9" fillId="0" borderId="22" xfId="0" applyFont="1" applyBorder="1" applyAlignment="1">
      <alignment horizontal="center" vertical="top"/>
    </xf>
    <xf numFmtId="0" fontId="9" fillId="0" borderId="17" xfId="0" applyFont="1" applyBorder="1" applyAlignment="1">
      <alignment vertical="top"/>
    </xf>
    <xf numFmtId="0" fontId="9" fillId="0" borderId="17" xfId="0" applyFont="1" applyBorder="1"/>
    <xf numFmtId="1" fontId="9" fillId="5" borderId="1" xfId="0" applyNumberFormat="1" applyFont="1" applyFill="1" applyBorder="1" applyAlignment="1">
      <alignment horizontal="center" vertical="center"/>
    </xf>
    <xf numFmtId="0" fontId="9" fillId="0" borderId="7" xfId="0" applyFont="1" applyBorder="1"/>
    <xf numFmtId="0" fontId="9" fillId="0" borderId="7" xfId="0" applyFont="1" applyBorder="1" applyAlignment="1">
      <alignment horizontal="left"/>
    </xf>
    <xf numFmtId="0" fontId="9" fillId="5" borderId="7" xfId="0" applyFont="1" applyFill="1" applyBorder="1"/>
    <xf numFmtId="0" fontId="4" fillId="0" borderId="34" xfId="0" applyFont="1" applyBorder="1"/>
    <xf numFmtId="1" fontId="9" fillId="0" borderId="34" xfId="0" applyNumberFormat="1" applyFont="1" applyBorder="1" applyAlignment="1">
      <alignment horizontal="center"/>
    </xf>
    <xf numFmtId="0" fontId="4" fillId="0" borderId="34" xfId="0" applyFont="1" applyBorder="1" applyAlignment="1">
      <alignment horizontal="right"/>
    </xf>
    <xf numFmtId="0" fontId="9" fillId="0" borderId="0" xfId="0" applyFont="1" applyAlignment="1">
      <alignment horizontal="center" vertical="top" wrapText="1"/>
    </xf>
    <xf numFmtId="1" fontId="9" fillId="0" borderId="0" xfId="0" applyNumberFormat="1" applyFont="1" applyAlignment="1">
      <alignment horizontal="center" vertical="top"/>
    </xf>
    <xf numFmtId="0" fontId="4" fillId="0" borderId="0" xfId="0" applyFont="1" applyAlignment="1">
      <alignment horizontal="right" vertical="top"/>
    </xf>
    <xf numFmtId="43" fontId="4" fillId="0" borderId="0" xfId="0" applyNumberFormat="1" applyFont="1" applyAlignment="1">
      <alignment vertical="top"/>
    </xf>
    <xf numFmtId="0" fontId="41" fillId="0" borderId="0" xfId="0" applyFont="1" applyAlignment="1">
      <alignment horizontal="left"/>
    </xf>
    <xf numFmtId="168" fontId="4" fillId="0" borderId="0" xfId="0" applyNumberFormat="1" applyFont="1"/>
    <xf numFmtId="0" fontId="9" fillId="5" borderId="6" xfId="0" applyFont="1" applyFill="1" applyBorder="1" applyAlignment="1">
      <alignment horizontal="left" vertical="center"/>
    </xf>
    <xf numFmtId="0" fontId="42" fillId="0" borderId="0" xfId="0" applyFont="1" applyAlignment="1">
      <alignment horizontal="center" vertical="top"/>
    </xf>
    <xf numFmtId="1" fontId="9" fillId="0" borderId="0" xfId="0" applyNumberFormat="1" applyFont="1" applyAlignment="1">
      <alignment horizontal="center" vertical="top" wrapText="1"/>
    </xf>
    <xf numFmtId="0" fontId="4" fillId="0" borderId="0" xfId="0" applyFont="1" applyAlignment="1">
      <alignment horizontal="right" vertical="top" wrapText="1"/>
    </xf>
    <xf numFmtId="0" fontId="4" fillId="0" borderId="0" xfId="0" applyFont="1" applyAlignment="1">
      <alignment vertical="top" wrapText="1"/>
    </xf>
    <xf numFmtId="0" fontId="42" fillId="0" borderId="0" xfId="0" applyFont="1" applyAlignment="1">
      <alignment horizontal="center" vertical="center"/>
    </xf>
    <xf numFmtId="0" fontId="4" fillId="0" borderId="6" xfId="0" applyFont="1" applyBorder="1" applyAlignment="1">
      <alignment vertical="center"/>
    </xf>
    <xf numFmtId="0" fontId="4" fillId="0" borderId="7" xfId="0" quotePrefix="1" applyFont="1" applyBorder="1" applyAlignment="1">
      <alignment horizontal="center" vertical="center"/>
    </xf>
    <xf numFmtId="0" fontId="4" fillId="0" borderId="7" xfId="0" applyFont="1" applyBorder="1" applyAlignment="1">
      <alignment vertical="center"/>
    </xf>
    <xf numFmtId="4" fontId="4" fillId="0" borderId="1" xfId="0" applyNumberFormat="1" applyFont="1" applyBorder="1" applyAlignment="1">
      <alignment vertical="center"/>
    </xf>
    <xf numFmtId="16" fontId="9" fillId="18" borderId="28" xfId="0" applyNumberFormat="1" applyFont="1" applyFill="1" applyBorder="1" applyAlignment="1">
      <alignment horizontal="center" vertical="center" wrapText="1"/>
    </xf>
    <xf numFmtId="16" fontId="9" fillId="18" borderId="20" xfId="0" applyNumberFormat="1" applyFont="1" applyFill="1" applyBorder="1" applyAlignment="1">
      <alignment horizontal="center" vertical="center" wrapText="1"/>
    </xf>
    <xf numFmtId="16" fontId="9" fillId="18" borderId="8" xfId="0" applyNumberFormat="1" applyFont="1" applyFill="1" applyBorder="1" applyAlignment="1">
      <alignment horizontal="center" vertical="center" wrapText="1"/>
    </xf>
    <xf numFmtId="43" fontId="9" fillId="0" borderId="0" xfId="4" applyFont="1" applyAlignment="1" applyProtection="1">
      <alignment horizontal="center"/>
      <protection locked="0"/>
    </xf>
    <xf numFmtId="1" fontId="9" fillId="5" borderId="8" xfId="4" applyNumberFormat="1" applyFont="1" applyFill="1" applyBorder="1" applyAlignment="1" applyProtection="1">
      <alignment horizontal="center" vertical="center"/>
    </xf>
    <xf numFmtId="1" fontId="9" fillId="5" borderId="19" xfId="4" applyNumberFormat="1" applyFont="1" applyFill="1" applyBorder="1" applyAlignment="1" applyProtection="1">
      <alignment horizontal="center" vertical="center"/>
    </xf>
    <xf numFmtId="1" fontId="9" fillId="0" borderId="25" xfId="4" applyNumberFormat="1" applyFont="1" applyFill="1" applyBorder="1" applyAlignment="1" applyProtection="1">
      <alignment horizontal="center" vertical="center"/>
    </xf>
    <xf numFmtId="1" fontId="9" fillId="0" borderId="26" xfId="4" applyNumberFormat="1" applyFont="1" applyFill="1" applyBorder="1" applyAlignment="1" applyProtection="1">
      <alignment horizontal="center" vertical="center"/>
    </xf>
    <xf numFmtId="1" fontId="9" fillId="5" borderId="11" xfId="4" applyNumberFormat="1" applyFont="1" applyFill="1" applyBorder="1" applyAlignment="1" applyProtection="1">
      <alignment horizontal="center" vertical="center"/>
    </xf>
    <xf numFmtId="1" fontId="9" fillId="0" borderId="1" xfId="4" applyNumberFormat="1" applyFont="1" applyFill="1" applyBorder="1" applyAlignment="1" applyProtection="1">
      <alignment horizontal="center" vertical="center"/>
    </xf>
    <xf numFmtId="167" fontId="4" fillId="0" borderId="30" xfId="4" applyNumberFormat="1" applyFont="1" applyFill="1" applyBorder="1" applyAlignment="1" applyProtection="1">
      <alignment vertical="center"/>
      <protection locked="0"/>
    </xf>
    <xf numFmtId="1" fontId="9" fillId="19" borderId="11" xfId="4" applyNumberFormat="1" applyFont="1" applyFill="1" applyBorder="1" applyAlignment="1" applyProtection="1">
      <alignment horizontal="center" vertical="center"/>
    </xf>
    <xf numFmtId="1" fontId="9" fillId="0" borderId="7" xfId="4" applyNumberFormat="1" applyFont="1" applyFill="1" applyBorder="1" applyAlignment="1" applyProtection="1">
      <alignment horizontal="center"/>
    </xf>
    <xf numFmtId="1" fontId="9" fillId="5" borderId="1" xfId="4" applyNumberFormat="1" applyFont="1" applyFill="1" applyBorder="1" applyAlignment="1" applyProtection="1">
      <alignment horizontal="center" vertical="center"/>
    </xf>
    <xf numFmtId="0" fontId="67" fillId="0" borderId="0" xfId="0" applyFont="1" applyAlignment="1" applyProtection="1">
      <alignment horizontal="right"/>
      <protection locked="0"/>
    </xf>
    <xf numFmtId="1" fontId="67" fillId="0" borderId="0" xfId="0" applyNumberFormat="1" applyFont="1" applyAlignment="1" applyProtection="1">
      <alignment horizontal="center"/>
      <protection locked="0"/>
    </xf>
    <xf numFmtId="16" fontId="66" fillId="0" borderId="0" xfId="0" applyNumberFormat="1" applyFont="1" applyProtection="1">
      <protection locked="0"/>
    </xf>
    <xf numFmtId="1" fontId="67" fillId="0" borderId="25" xfId="28" applyNumberFormat="1" applyFont="1" applyFill="1" applyBorder="1" applyAlignment="1" applyProtection="1">
      <alignment horizontal="center" vertical="center"/>
    </xf>
    <xf numFmtId="165" fontId="38" fillId="0" borderId="25" xfId="28" applyNumberFormat="1" applyFont="1" applyFill="1" applyBorder="1" applyAlignment="1" applyProtection="1">
      <alignment horizontal="right" vertical="center"/>
    </xf>
    <xf numFmtId="1" fontId="67" fillId="0" borderId="26" xfId="28" applyNumberFormat="1" applyFont="1" applyFill="1" applyBorder="1" applyAlignment="1" applyProtection="1">
      <alignment horizontal="center" vertical="center"/>
    </xf>
    <xf numFmtId="165" fontId="38" fillId="0" borderId="26" xfId="28" applyNumberFormat="1" applyFont="1" applyFill="1" applyBorder="1" applyAlignment="1" applyProtection="1">
      <alignment horizontal="right" vertical="center"/>
    </xf>
    <xf numFmtId="1" fontId="67" fillId="0" borderId="7" xfId="28" applyNumberFormat="1" applyFont="1" applyFill="1" applyBorder="1" applyAlignment="1" applyProtection="1">
      <alignment horizontal="center"/>
    </xf>
    <xf numFmtId="165" fontId="24" fillId="0" borderId="7" xfId="28" applyNumberFormat="1" applyFont="1" applyFill="1" applyBorder="1" applyAlignment="1" applyProtection="1">
      <alignment horizontal="right"/>
    </xf>
    <xf numFmtId="165" fontId="66" fillId="0" borderId="7" xfId="28" applyNumberFormat="1" applyFont="1" applyFill="1" applyBorder="1" applyProtection="1"/>
    <xf numFmtId="165" fontId="66" fillId="0" borderId="0" xfId="28" applyNumberFormat="1" applyFont="1" applyFill="1" applyBorder="1" applyProtection="1"/>
    <xf numFmtId="165" fontId="24" fillId="0" borderId="11" xfId="28" applyNumberFormat="1" applyFont="1" applyFill="1" applyBorder="1" applyAlignment="1" applyProtection="1">
      <alignment horizontal="right" vertical="center"/>
    </xf>
    <xf numFmtId="165" fontId="71" fillId="0" borderId="0" xfId="28" applyNumberFormat="1" applyFont="1" applyFill="1" applyBorder="1" applyAlignment="1" applyProtection="1">
      <alignment vertical="center"/>
    </xf>
    <xf numFmtId="165" fontId="38" fillId="0" borderId="7" xfId="28" applyNumberFormat="1" applyFont="1" applyFill="1" applyBorder="1" applyAlignment="1" applyProtection="1">
      <alignment horizontal="right" vertical="center"/>
    </xf>
    <xf numFmtId="165" fontId="66" fillId="0" borderId="7" xfId="28" applyNumberFormat="1" applyFont="1" applyFill="1" applyBorder="1" applyAlignment="1" applyProtection="1">
      <alignment vertical="center"/>
    </xf>
    <xf numFmtId="165" fontId="71" fillId="0" borderId="7" xfId="28" applyNumberFormat="1" applyFont="1" applyFill="1" applyBorder="1" applyAlignment="1" applyProtection="1">
      <alignment vertical="center"/>
    </xf>
    <xf numFmtId="1" fontId="67" fillId="0" borderId="0" xfId="29" applyNumberFormat="1" applyFont="1" applyAlignment="1">
      <alignment horizontal="center"/>
    </xf>
    <xf numFmtId="1" fontId="69" fillId="13" borderId="55" xfId="29" applyNumberFormat="1" applyFont="1" applyFill="1" applyBorder="1" applyAlignment="1">
      <alignment horizontal="center"/>
    </xf>
    <xf numFmtId="0" fontId="24" fillId="13" borderId="55" xfId="29" applyFont="1" applyFill="1" applyBorder="1" applyAlignment="1">
      <alignment horizontal="right"/>
    </xf>
    <xf numFmtId="0" fontId="68" fillId="13" borderId="0" xfId="29" applyFont="1" applyFill="1" applyAlignment="1">
      <alignment horizontal="center"/>
    </xf>
    <xf numFmtId="0" fontId="67" fillId="0" borderId="0" xfId="29" applyFont="1" applyAlignment="1" applyProtection="1">
      <alignment horizontal="center"/>
      <protection locked="0"/>
    </xf>
    <xf numFmtId="43" fontId="67" fillId="0" borderId="0" xfId="28" applyFont="1" applyAlignment="1" applyProtection="1">
      <alignment horizontal="center"/>
      <protection locked="0"/>
    </xf>
    <xf numFmtId="169" fontId="67" fillId="0" borderId="0" xfId="29" applyNumberFormat="1" applyFont="1" applyAlignment="1" applyProtection="1">
      <alignment horizontal="center"/>
      <protection locked="0"/>
    </xf>
    <xf numFmtId="170" fontId="24" fillId="0" borderId="0" xfId="29" applyNumberFormat="1" applyFont="1" applyAlignment="1" applyProtection="1">
      <alignment horizontal="right"/>
      <protection locked="0"/>
    </xf>
    <xf numFmtId="1" fontId="67" fillId="16" borderId="11" xfId="28" applyNumberFormat="1" applyFont="1" applyFill="1" applyBorder="1" applyAlignment="1" applyProtection="1">
      <alignment horizontal="center" vertical="center"/>
    </xf>
    <xf numFmtId="165" fontId="38" fillId="16" borderId="11" xfId="28" applyNumberFormat="1" applyFont="1" applyFill="1" applyBorder="1" applyAlignment="1" applyProtection="1">
      <alignment horizontal="right" vertical="center"/>
    </xf>
    <xf numFmtId="165" fontId="24" fillId="11" borderId="24" xfId="28" applyNumberFormat="1" applyFont="1" applyFill="1" applyBorder="1" applyAlignment="1" applyProtection="1">
      <alignment vertical="center"/>
      <protection locked="0"/>
    </xf>
    <xf numFmtId="165" fontId="66" fillId="11" borderId="24" xfId="28" applyNumberFormat="1" applyFont="1" applyFill="1" applyBorder="1" applyAlignment="1" applyProtection="1">
      <alignment vertical="center"/>
      <protection locked="0"/>
    </xf>
    <xf numFmtId="1" fontId="67" fillId="16" borderId="1" xfId="28" applyNumberFormat="1" applyFont="1" applyFill="1" applyBorder="1" applyAlignment="1" applyProtection="1">
      <alignment horizontal="center" vertical="center"/>
    </xf>
    <xf numFmtId="165" fontId="66" fillId="16" borderId="24" xfId="28" applyNumberFormat="1" applyFont="1" applyFill="1" applyBorder="1" applyAlignment="1" applyProtection="1">
      <alignment vertical="center"/>
    </xf>
    <xf numFmtId="165" fontId="66" fillId="11" borderId="31" xfId="28" applyNumberFormat="1" applyFont="1" applyFill="1" applyBorder="1" applyAlignment="1" applyProtection="1">
      <alignment vertical="center"/>
      <protection locked="0"/>
    </xf>
    <xf numFmtId="165" fontId="66" fillId="20" borderId="31" xfId="28" applyNumberFormat="1" applyFont="1" applyFill="1" applyBorder="1" applyAlignment="1" applyProtection="1">
      <alignment vertical="center"/>
      <protection locked="0"/>
    </xf>
    <xf numFmtId="165" fontId="66" fillId="11" borderId="32" xfId="28" applyNumberFormat="1" applyFont="1" applyFill="1" applyBorder="1" applyAlignment="1" applyProtection="1">
      <alignment vertical="center"/>
      <protection locked="0"/>
    </xf>
    <xf numFmtId="165" fontId="66" fillId="16" borderId="27" xfId="28" applyNumberFormat="1" applyFont="1" applyFill="1" applyBorder="1" applyAlignment="1" applyProtection="1">
      <alignment vertical="center"/>
    </xf>
    <xf numFmtId="165" fontId="38" fillId="16" borderId="1" xfId="28" applyNumberFormat="1" applyFont="1" applyFill="1" applyBorder="1" applyAlignment="1" applyProtection="1">
      <alignment horizontal="right" vertical="center"/>
    </xf>
    <xf numFmtId="165" fontId="66" fillId="11" borderId="30" xfId="28" applyNumberFormat="1" applyFont="1" applyFill="1" applyBorder="1" applyAlignment="1" applyProtection="1">
      <alignment vertical="center"/>
      <protection locked="0"/>
    </xf>
    <xf numFmtId="165" fontId="67" fillId="17" borderId="1" xfId="28" applyNumberFormat="1" applyFont="1" applyFill="1" applyBorder="1" applyAlignment="1" applyProtection="1">
      <alignment vertical="center"/>
    </xf>
    <xf numFmtId="165" fontId="24" fillId="0" borderId="7" xfId="28" applyNumberFormat="1" applyFont="1" applyBorder="1" applyAlignment="1" applyProtection="1">
      <alignment horizontal="right" vertical="center"/>
    </xf>
    <xf numFmtId="165" fontId="66" fillId="0" borderId="7" xfId="28" applyNumberFormat="1" applyFont="1" applyBorder="1" applyAlignment="1" applyProtection="1">
      <alignment vertical="center"/>
    </xf>
    <xf numFmtId="165" fontId="66" fillId="0" borderId="0" xfId="28" applyNumberFormat="1" applyFont="1" applyBorder="1" applyAlignment="1" applyProtection="1">
      <alignment vertical="center"/>
    </xf>
    <xf numFmtId="165" fontId="66" fillId="0" borderId="28" xfId="28" applyNumberFormat="1" applyFont="1" applyBorder="1" applyAlignment="1" applyProtection="1">
      <alignment vertical="center"/>
    </xf>
    <xf numFmtId="165" fontId="66" fillId="0" borderId="11" xfId="28" applyNumberFormat="1" applyFont="1" applyBorder="1" applyAlignment="1" applyProtection="1">
      <alignment vertical="center"/>
    </xf>
    <xf numFmtId="165" fontId="66" fillId="0" borderId="17" xfId="28" applyNumberFormat="1" applyFont="1" applyBorder="1" applyAlignment="1" applyProtection="1">
      <alignment vertical="center"/>
    </xf>
    <xf numFmtId="165" fontId="66" fillId="0" borderId="24" xfId="28" applyNumberFormat="1" applyFont="1" applyBorder="1" applyAlignment="1" applyProtection="1">
      <alignment vertical="center"/>
    </xf>
    <xf numFmtId="165" fontId="71" fillId="0" borderId="29" xfId="28" applyNumberFormat="1" applyFont="1" applyBorder="1" applyAlignment="1" applyProtection="1">
      <alignment vertical="center"/>
    </xf>
    <xf numFmtId="165" fontId="71" fillId="0" borderId="19" xfId="28" applyNumberFormat="1" applyFont="1" applyBorder="1" applyAlignment="1" applyProtection="1">
      <alignment vertical="center"/>
    </xf>
    <xf numFmtId="165" fontId="67" fillId="16" borderId="1" xfId="28" applyNumberFormat="1" applyFont="1" applyFill="1" applyBorder="1" applyAlignment="1" applyProtection="1">
      <alignment vertical="center"/>
    </xf>
    <xf numFmtId="165" fontId="67" fillId="16" borderId="7" xfId="28" applyNumberFormat="1" applyFont="1" applyFill="1" applyBorder="1" applyAlignment="1" applyProtection="1">
      <alignment vertical="center"/>
    </xf>
    <xf numFmtId="165" fontId="72" fillId="16" borderId="7" xfId="28" applyNumberFormat="1" applyFont="1" applyFill="1" applyBorder="1" applyAlignment="1" applyProtection="1">
      <alignment vertical="center"/>
    </xf>
    <xf numFmtId="165" fontId="72" fillId="16" borderId="30" xfId="28" applyNumberFormat="1" applyFont="1" applyFill="1" applyBorder="1" applyAlignment="1" applyProtection="1">
      <alignment vertical="center"/>
    </xf>
    <xf numFmtId="165" fontId="38" fillId="0" borderId="7" xfId="28" applyNumberFormat="1" applyFont="1" applyBorder="1" applyAlignment="1" applyProtection="1">
      <alignment horizontal="right" vertical="center"/>
    </xf>
    <xf numFmtId="165" fontId="71" fillId="0" borderId="0" xfId="28" applyNumberFormat="1" applyFont="1" applyBorder="1" applyAlignment="1" applyProtection="1">
      <alignment vertical="center"/>
    </xf>
    <xf numFmtId="165" fontId="72" fillId="16" borderId="1" xfId="28" applyNumberFormat="1" applyFont="1" applyFill="1" applyBorder="1" applyAlignment="1" applyProtection="1">
      <alignment vertical="center"/>
    </xf>
    <xf numFmtId="165" fontId="38" fillId="11" borderId="34" xfId="28" applyNumberFormat="1" applyFont="1" applyFill="1" applyBorder="1" applyAlignment="1" applyProtection="1">
      <alignment horizontal="right" vertical="center"/>
    </xf>
    <xf numFmtId="165" fontId="67" fillId="11" borderId="34" xfId="28" applyNumberFormat="1" applyFont="1" applyFill="1" applyBorder="1" applyAlignment="1" applyProtection="1">
      <alignment vertical="center"/>
    </xf>
    <xf numFmtId="165" fontId="72" fillId="11" borderId="34" xfId="28" applyNumberFormat="1" applyFont="1" applyFill="1" applyBorder="1" applyAlignment="1" applyProtection="1">
      <alignment vertical="center"/>
    </xf>
    <xf numFmtId="0" fontId="66" fillId="0" borderId="0" xfId="29" applyFont="1" applyAlignment="1">
      <alignment vertical="top" wrapText="1"/>
    </xf>
    <xf numFmtId="0" fontId="67" fillId="0" borderId="0" xfId="29" applyFont="1" applyAlignment="1">
      <alignment horizontal="center"/>
    </xf>
    <xf numFmtId="3" fontId="10" fillId="10" borderId="18" xfId="15" applyNumberFormat="1" applyFont="1" applyFill="1" applyBorder="1" applyAlignment="1">
      <alignment vertical="center" wrapText="1"/>
    </xf>
    <xf numFmtId="0" fontId="8" fillId="14" borderId="0" xfId="15" applyFont="1" applyFill="1" applyAlignment="1">
      <alignment horizontal="center"/>
    </xf>
    <xf numFmtId="0" fontId="10" fillId="14" borderId="0" xfId="15" applyFont="1" applyFill="1"/>
    <xf numFmtId="0" fontId="16" fillId="0" borderId="18" xfId="15" applyFont="1" applyBorder="1" applyAlignment="1">
      <alignment vertical="center" wrapText="1"/>
    </xf>
    <xf numFmtId="0" fontId="43" fillId="0" borderId="4" xfId="15" applyFont="1" applyBorder="1" applyAlignment="1">
      <alignment vertical="center" wrapText="1"/>
    </xf>
    <xf numFmtId="0" fontId="44" fillId="0" borderId="4" xfId="15" applyFont="1" applyBorder="1" applyAlignment="1">
      <alignment vertical="center" wrapText="1"/>
    </xf>
    <xf numFmtId="0" fontId="10" fillId="0" borderId="13" xfId="15" applyFont="1" applyBorder="1" applyAlignment="1">
      <alignment vertical="center"/>
    </xf>
    <xf numFmtId="0" fontId="43" fillId="0" borderId="13" xfId="15" applyFont="1" applyBorder="1" applyAlignment="1">
      <alignment vertical="center" wrapText="1"/>
    </xf>
    <xf numFmtId="0" fontId="10" fillId="5" borderId="1" xfId="15" applyFont="1" applyFill="1" applyBorder="1" applyAlignment="1">
      <alignment vertical="center"/>
    </xf>
    <xf numFmtId="0" fontId="10" fillId="0" borderId="38" xfId="15" applyFont="1" applyBorder="1" applyAlignment="1">
      <alignment vertical="center"/>
    </xf>
    <xf numFmtId="0" fontId="43" fillId="0" borderId="22" xfId="15" applyFont="1" applyBorder="1" applyAlignment="1">
      <alignment horizontal="center" vertical="top"/>
    </xf>
    <xf numFmtId="0" fontId="43" fillId="0" borderId="11" xfId="15" applyFont="1" applyBorder="1" applyAlignment="1">
      <alignment horizontal="left" vertical="top" wrapText="1"/>
    </xf>
    <xf numFmtId="0" fontId="43" fillId="0" borderId="18" xfId="15" applyFont="1" applyBorder="1" applyAlignment="1">
      <alignment vertical="top"/>
    </xf>
    <xf numFmtId="0" fontId="43" fillId="0" borderId="4" xfId="15" applyFont="1" applyBorder="1" applyAlignment="1">
      <alignment vertical="top"/>
    </xf>
    <xf numFmtId="0" fontId="43" fillId="7" borderId="18" xfId="15" applyFont="1" applyFill="1" applyBorder="1" applyAlignment="1">
      <alignment vertical="top" wrapText="1"/>
    </xf>
    <xf numFmtId="0" fontId="43" fillId="7" borderId="4" xfId="15" applyFont="1" applyFill="1" applyBorder="1" applyAlignment="1">
      <alignment vertical="top" wrapText="1"/>
    </xf>
    <xf numFmtId="0" fontId="43" fillId="0" borderId="18" xfId="15" applyFont="1" applyBorder="1" applyAlignment="1">
      <alignment vertical="top" wrapText="1"/>
    </xf>
    <xf numFmtId="0" fontId="43" fillId="8" borderId="18" xfId="15" applyFont="1" applyFill="1" applyBorder="1" applyAlignment="1">
      <alignment vertical="top" wrapText="1"/>
    </xf>
    <xf numFmtId="0" fontId="43" fillId="8" borderId="4" xfId="15" applyFont="1" applyFill="1" applyBorder="1" applyAlignment="1">
      <alignment vertical="top"/>
    </xf>
    <xf numFmtId="0" fontId="43" fillId="9" borderId="18" xfId="15" applyFont="1" applyFill="1" applyBorder="1" applyAlignment="1">
      <alignment vertical="top" wrapText="1"/>
    </xf>
    <xf numFmtId="0" fontId="43" fillId="9" borderId="4" xfId="15" applyFont="1" applyFill="1" applyBorder="1" applyAlignment="1">
      <alignment vertical="top" wrapText="1"/>
    </xf>
    <xf numFmtId="0" fontId="43" fillId="5" borderId="6" xfId="15" applyFont="1" applyFill="1" applyBorder="1" applyAlignment="1">
      <alignment vertical="top"/>
    </xf>
    <xf numFmtId="0" fontId="43" fillId="5" borderId="1" xfId="15" applyFont="1" applyFill="1" applyBorder="1" applyAlignment="1">
      <alignment vertical="top"/>
    </xf>
    <xf numFmtId="0" fontId="43" fillId="0" borderId="8" xfId="15" applyFont="1" applyBorder="1" applyAlignment="1">
      <alignment vertical="top"/>
    </xf>
    <xf numFmtId="0" fontId="43" fillId="0" borderId="18" xfId="15" applyFont="1" applyBorder="1" applyAlignment="1">
      <alignment horizontal="center" vertical="top"/>
    </xf>
    <xf numFmtId="0" fontId="43" fillId="0" borderId="4" xfId="15" applyFont="1" applyBorder="1" applyAlignment="1">
      <alignment horizontal="center" vertical="top"/>
    </xf>
    <xf numFmtId="0" fontId="43" fillId="10" borderId="18" xfId="15" applyFont="1" applyFill="1" applyBorder="1" applyAlignment="1">
      <alignment vertical="top" wrapText="1"/>
    </xf>
    <xf numFmtId="0" fontId="43" fillId="10" borderId="4" xfId="15" applyFont="1" applyFill="1" applyBorder="1" applyAlignment="1">
      <alignment vertical="top"/>
    </xf>
    <xf numFmtId="0" fontId="18" fillId="5" borderId="6" xfId="15" applyFont="1" applyFill="1" applyBorder="1"/>
    <xf numFmtId="0" fontId="18" fillId="5" borderId="1" xfId="15" applyFont="1" applyFill="1" applyBorder="1"/>
    <xf numFmtId="0" fontId="18" fillId="0" borderId="20" xfId="15" applyFont="1" applyBorder="1"/>
    <xf numFmtId="0" fontId="18" fillId="0" borderId="8" xfId="15" applyFont="1" applyBorder="1"/>
    <xf numFmtId="0" fontId="18" fillId="0" borderId="21" xfId="15" applyFont="1" applyBorder="1"/>
    <xf numFmtId="3" fontId="10" fillId="21" borderId="18" xfId="15" applyNumberFormat="1" applyFont="1" applyFill="1" applyBorder="1" applyAlignment="1" applyProtection="1">
      <alignment vertical="center" wrapText="1"/>
      <protection locked="0"/>
    </xf>
    <xf numFmtId="3" fontId="8" fillId="21" borderId="1" xfId="15" applyNumberFormat="1" applyFont="1" applyFill="1" applyBorder="1" applyAlignment="1">
      <alignment vertical="center"/>
    </xf>
    <xf numFmtId="16" fontId="9" fillId="18" borderId="0" xfId="0" quotePrefix="1" applyNumberFormat="1" applyFont="1" applyFill="1" applyAlignment="1">
      <alignment horizontal="center" vertical="center" wrapText="1"/>
    </xf>
    <xf numFmtId="14" fontId="9" fillId="18" borderId="8" xfId="0" quotePrefix="1" applyNumberFormat="1" applyFont="1" applyFill="1" applyBorder="1" applyAlignment="1">
      <alignment horizontal="center" vertical="center" wrapText="1"/>
    </xf>
    <xf numFmtId="165" fontId="66" fillId="0" borderId="0" xfId="0" applyNumberFormat="1" applyFont="1" applyProtection="1">
      <protection locked="0"/>
    </xf>
    <xf numFmtId="49" fontId="12" fillId="14" borderId="27" xfId="15" applyNumberFormat="1" applyFont="1" applyFill="1" applyBorder="1" applyAlignment="1">
      <alignment horizontal="center" vertical="center"/>
    </xf>
    <xf numFmtId="49" fontId="12" fillId="14" borderId="28" xfId="15" applyNumberFormat="1" applyFont="1" applyFill="1" applyBorder="1" applyAlignment="1">
      <alignment horizontal="center" vertical="center"/>
    </xf>
    <xf numFmtId="49" fontId="12" fillId="14" borderId="39" xfId="15" applyNumberFormat="1" applyFont="1" applyFill="1" applyBorder="1" applyAlignment="1">
      <alignment horizontal="center" vertical="center"/>
    </xf>
    <xf numFmtId="0" fontId="8" fillId="14" borderId="28" xfId="15" applyFont="1" applyFill="1" applyBorder="1" applyAlignment="1">
      <alignment horizontal="left" vertical="center"/>
    </xf>
    <xf numFmtId="0" fontId="10" fillId="14" borderId="10" xfId="15" applyFont="1" applyFill="1" applyBorder="1"/>
    <xf numFmtId="0" fontId="10" fillId="14" borderId="10" xfId="15" quotePrefix="1" applyFont="1" applyFill="1" applyBorder="1" applyAlignment="1">
      <alignment horizontal="left" vertical="center"/>
    </xf>
    <xf numFmtId="0" fontId="10" fillId="14" borderId="10" xfId="15" applyFont="1" applyFill="1" applyBorder="1" applyAlignment="1">
      <alignment vertical="center"/>
    </xf>
    <xf numFmtId="0" fontId="10" fillId="14" borderId="10" xfId="15" quotePrefix="1" applyFont="1" applyFill="1" applyBorder="1" applyAlignment="1">
      <alignment horizontal="left" vertical="center" wrapText="1"/>
    </xf>
    <xf numFmtId="0" fontId="15" fillId="14" borderId="4" xfId="15" applyFont="1" applyFill="1" applyBorder="1" applyAlignment="1">
      <alignment vertical="center"/>
    </xf>
    <xf numFmtId="0" fontId="17" fillId="14" borderId="10" xfId="15" quotePrefix="1" applyFont="1" applyFill="1" applyBorder="1" applyAlignment="1">
      <alignment horizontal="left" vertical="center" wrapText="1"/>
    </xf>
    <xf numFmtId="3" fontId="8" fillId="22" borderId="10" xfId="15" applyNumberFormat="1" applyFont="1" applyFill="1" applyBorder="1" applyAlignment="1">
      <alignment vertical="center"/>
    </xf>
    <xf numFmtId="0" fontId="10" fillId="14" borderId="10" xfId="15" applyFont="1" applyFill="1" applyBorder="1" applyAlignment="1">
      <alignment horizontal="left" vertical="center" wrapText="1"/>
    </xf>
    <xf numFmtId="0" fontId="15" fillId="14" borderId="13" xfId="15" applyFont="1" applyFill="1" applyBorder="1" applyAlignment="1">
      <alignment vertical="center"/>
    </xf>
    <xf numFmtId="0" fontId="10" fillId="14" borderId="39" xfId="15" applyFont="1" applyFill="1" applyBorder="1" applyAlignment="1">
      <alignment vertical="center"/>
    </xf>
    <xf numFmtId="165" fontId="51" fillId="22" borderId="19" xfId="7" applyNumberFormat="1" applyFont="1" applyFill="1" applyBorder="1" applyAlignment="1">
      <alignment wrapText="1"/>
    </xf>
    <xf numFmtId="0" fontId="10" fillId="14" borderId="11" xfId="15" applyFont="1" applyFill="1" applyBorder="1" applyAlignment="1">
      <alignment vertical="center"/>
    </xf>
    <xf numFmtId="0" fontId="10" fillId="14" borderId="4" xfId="15" applyFont="1" applyFill="1" applyBorder="1" applyAlignment="1">
      <alignment vertical="center"/>
    </xf>
    <xf numFmtId="0" fontId="10" fillId="14" borderId="4" xfId="15" quotePrefix="1" applyFont="1" applyFill="1" applyBorder="1" applyAlignment="1">
      <alignment horizontal="left" vertical="center" wrapText="1"/>
    </xf>
    <xf numFmtId="0" fontId="10" fillId="14" borderId="4" xfId="15" quotePrefix="1" applyFont="1" applyFill="1" applyBorder="1" applyAlignment="1">
      <alignment horizontal="left" vertical="center"/>
    </xf>
    <xf numFmtId="0" fontId="10" fillId="14" borderId="9" xfId="15" applyFont="1" applyFill="1" applyBorder="1"/>
    <xf numFmtId="0" fontId="10" fillId="14" borderId="1" xfId="15" applyFont="1" applyFill="1" applyBorder="1"/>
    <xf numFmtId="0" fontId="8" fillId="14" borderId="11" xfId="15" applyFont="1" applyFill="1" applyBorder="1" applyAlignment="1">
      <alignment horizontal="center"/>
    </xf>
    <xf numFmtId="0" fontId="8" fillId="14" borderId="4" xfId="15" applyFont="1" applyFill="1" applyBorder="1"/>
    <xf numFmtId="0" fontId="10" fillId="14" borderId="4" xfId="15" applyFont="1" applyFill="1" applyBorder="1"/>
    <xf numFmtId="0" fontId="10" fillId="14" borderId="18" xfId="15" applyFont="1" applyFill="1" applyBorder="1" applyAlignment="1">
      <alignment vertical="top"/>
    </xf>
    <xf numFmtId="0" fontId="10" fillId="14" borderId="18" xfId="15" quotePrefix="1" applyFont="1" applyFill="1" applyBorder="1" applyAlignment="1">
      <alignment horizontal="left" vertical="top"/>
    </xf>
    <xf numFmtId="0" fontId="10" fillId="14" borderId="1" xfId="15" applyFont="1" applyFill="1" applyBorder="1" applyAlignment="1">
      <alignment vertical="top"/>
    </xf>
    <xf numFmtId="0" fontId="8" fillId="14" borderId="11" xfId="15" applyFont="1" applyFill="1" applyBorder="1" applyAlignment="1">
      <alignment vertical="top"/>
    </xf>
    <xf numFmtId="0" fontId="10" fillId="14" borderId="4" xfId="15" applyFont="1" applyFill="1" applyBorder="1" applyAlignment="1">
      <alignment vertical="top"/>
    </xf>
    <xf numFmtId="0" fontId="10" fillId="14" borderId="4" xfId="15" quotePrefix="1" applyFont="1" applyFill="1" applyBorder="1" applyAlignment="1">
      <alignment horizontal="left" vertical="top"/>
    </xf>
    <xf numFmtId="1" fontId="10" fillId="10" borderId="4" xfId="15" applyNumberFormat="1" applyFont="1" applyFill="1" applyBorder="1" applyAlignment="1">
      <alignment vertical="center" wrapText="1"/>
    </xf>
    <xf numFmtId="0" fontId="10" fillId="14" borderId="7" xfId="15" applyFont="1" applyFill="1" applyBorder="1"/>
    <xf numFmtId="0" fontId="8" fillId="14" borderId="1" xfId="15" applyFont="1" applyFill="1" applyBorder="1"/>
    <xf numFmtId="0" fontId="10" fillId="14" borderId="14" xfId="15" applyFont="1" applyFill="1" applyBorder="1"/>
    <xf numFmtId="0" fontId="16" fillId="14" borderId="0" xfId="15" applyFont="1" applyFill="1"/>
    <xf numFmtId="0" fontId="32" fillId="0" borderId="0" xfId="0" applyFont="1" applyProtection="1">
      <protection locked="0"/>
    </xf>
    <xf numFmtId="0" fontId="9" fillId="0" borderId="0" xfId="0" applyFont="1" applyAlignment="1" applyProtection="1">
      <alignment horizontal="right" vertical="center"/>
      <protection locked="0"/>
    </xf>
    <xf numFmtId="0" fontId="75" fillId="0" borderId="0" xfId="29" applyFont="1" applyProtection="1">
      <protection locked="0"/>
    </xf>
    <xf numFmtId="43" fontId="67" fillId="0" borderId="0" xfId="5" applyFont="1" applyAlignment="1" applyProtection="1">
      <alignment horizontal="center"/>
      <protection locked="0"/>
    </xf>
    <xf numFmtId="165" fontId="67" fillId="23" borderId="0" xfId="0" applyNumberFormat="1" applyFont="1" applyFill="1" applyAlignment="1" applyProtection="1">
      <alignment horizontal="right"/>
      <protection locked="0"/>
    </xf>
    <xf numFmtId="165" fontId="67" fillId="11" borderId="0" xfId="0" applyNumberFormat="1" applyFont="1" applyFill="1" applyAlignment="1" applyProtection="1">
      <alignment horizontal="right"/>
      <protection locked="0"/>
    </xf>
    <xf numFmtId="165" fontId="67" fillId="0" borderId="0" xfId="5" applyNumberFormat="1" applyFont="1" applyAlignment="1" applyProtection="1">
      <protection locked="0"/>
    </xf>
    <xf numFmtId="0" fontId="67" fillId="0" borderId="33" xfId="29" applyFont="1" applyBorder="1" applyAlignment="1">
      <alignment horizontal="center" vertical="center"/>
    </xf>
    <xf numFmtId="1" fontId="67" fillId="0" borderId="11" xfId="29" applyNumberFormat="1" applyFont="1" applyBorder="1" applyAlignment="1">
      <alignment horizontal="center" vertical="center"/>
    </xf>
    <xf numFmtId="165" fontId="38" fillId="0" borderId="11" xfId="29" applyNumberFormat="1" applyFont="1" applyBorder="1" applyAlignment="1">
      <alignment horizontal="right" vertical="center"/>
    </xf>
    <xf numFmtId="0" fontId="67" fillId="0" borderId="27" xfId="29" applyFont="1" applyBorder="1" applyAlignment="1">
      <alignment horizontal="center" vertical="center"/>
    </xf>
    <xf numFmtId="0" fontId="67" fillId="0" borderId="5" xfId="29" applyFont="1" applyBorder="1" applyAlignment="1">
      <alignment horizontal="center" vertical="center"/>
    </xf>
    <xf numFmtId="0" fontId="67" fillId="0" borderId="34" xfId="29" applyFont="1" applyBorder="1" applyAlignment="1">
      <alignment horizontal="center"/>
    </xf>
    <xf numFmtId="0" fontId="67" fillId="0" borderId="11" xfId="29" applyFont="1" applyBorder="1" applyAlignment="1">
      <alignment horizontal="center"/>
    </xf>
    <xf numFmtId="0" fontId="72" fillId="0" borderId="28" xfId="29" applyFont="1" applyBorder="1" applyAlignment="1">
      <alignment horizontal="center"/>
    </xf>
    <xf numFmtId="0" fontId="72" fillId="0" borderId="8" xfId="29" applyFont="1" applyBorder="1" applyAlignment="1">
      <alignment horizontal="center"/>
    </xf>
    <xf numFmtId="0" fontId="66" fillId="16" borderId="33" xfId="29" applyFont="1" applyFill="1" applyBorder="1" applyAlignment="1">
      <alignment vertical="center"/>
    </xf>
    <xf numFmtId="0" fontId="66" fillId="16" borderId="34" xfId="29" quotePrefix="1" applyFont="1" applyFill="1" applyBorder="1" applyAlignment="1">
      <alignment horizontal="center" vertical="center"/>
    </xf>
    <xf numFmtId="0" fontId="66" fillId="11" borderId="34" xfId="29" applyFont="1" applyFill="1" applyBorder="1" applyAlignment="1">
      <alignment vertical="center"/>
    </xf>
    <xf numFmtId="0" fontId="66" fillId="16" borderId="34" xfId="29" applyFont="1" applyFill="1" applyBorder="1" applyAlignment="1">
      <alignment vertical="center"/>
    </xf>
    <xf numFmtId="0" fontId="66" fillId="16" borderId="22" xfId="29" applyFont="1" applyFill="1" applyBorder="1" applyAlignment="1">
      <alignment vertical="center"/>
    </xf>
    <xf numFmtId="0" fontId="66" fillId="16" borderId="17" xfId="29" quotePrefix="1" applyFont="1" applyFill="1" applyBorder="1" applyAlignment="1">
      <alignment horizontal="center" vertical="center"/>
    </xf>
    <xf numFmtId="0" fontId="66" fillId="16" borderId="17" xfId="29" applyFont="1" applyFill="1" applyBorder="1" applyAlignment="1">
      <alignment vertical="center"/>
    </xf>
    <xf numFmtId="0" fontId="66" fillId="24" borderId="34" xfId="29" applyFont="1" applyFill="1" applyBorder="1" applyAlignment="1">
      <alignment vertical="center"/>
    </xf>
    <xf numFmtId="0" fontId="66" fillId="0" borderId="35" xfId="29" applyFont="1" applyBorder="1" applyAlignment="1">
      <alignment vertical="center"/>
    </xf>
    <xf numFmtId="0" fontId="66" fillId="0" borderId="20" xfId="29" applyFont="1" applyBorder="1" applyAlignment="1">
      <alignment vertical="center"/>
    </xf>
    <xf numFmtId="0" fontId="66" fillId="25" borderId="36" xfId="29" applyFont="1" applyFill="1" applyBorder="1" applyAlignment="1">
      <alignment vertical="center"/>
    </xf>
    <xf numFmtId="0" fontId="66" fillId="0" borderId="36" xfId="29" applyFont="1" applyBorder="1" applyAlignment="1">
      <alignment vertical="center"/>
    </xf>
    <xf numFmtId="0" fontId="66" fillId="26" borderId="36" xfId="29" applyFont="1" applyFill="1" applyBorder="1" applyAlignment="1">
      <alignment vertical="center"/>
    </xf>
    <xf numFmtId="0" fontId="66" fillId="0" borderId="23" xfId="29" applyFont="1" applyBorder="1" applyAlignment="1">
      <alignment vertical="center"/>
    </xf>
    <xf numFmtId="0" fontId="66" fillId="0" borderId="15" xfId="29" applyFont="1" applyBorder="1" applyAlignment="1">
      <alignment horizontal="center" vertical="center"/>
    </xf>
    <xf numFmtId="0" fontId="66" fillId="0" borderId="15" xfId="29" applyFont="1" applyBorder="1" applyAlignment="1">
      <alignment vertical="center"/>
    </xf>
    <xf numFmtId="0" fontId="66" fillId="0" borderId="37" xfId="29" applyFont="1" applyBorder="1" applyAlignment="1">
      <alignment vertical="center"/>
    </xf>
    <xf numFmtId="0" fontId="24" fillId="16" borderId="34" xfId="29" applyFont="1" applyFill="1" applyBorder="1" applyAlignment="1">
      <alignment vertical="center"/>
    </xf>
    <xf numFmtId="0" fontId="66" fillId="16" borderId="6" xfId="29" applyFont="1" applyFill="1" applyBorder="1" applyAlignment="1">
      <alignment vertical="center"/>
    </xf>
    <xf numFmtId="0" fontId="66" fillId="16" borderId="7" xfId="29" quotePrefix="1" applyFont="1" applyFill="1" applyBorder="1" applyAlignment="1">
      <alignment horizontal="center" vertical="center"/>
    </xf>
    <xf numFmtId="0" fontId="66" fillId="16" borderId="7" xfId="29" applyFont="1" applyFill="1" applyBorder="1" applyAlignment="1">
      <alignment vertical="center"/>
    </xf>
    <xf numFmtId="0" fontId="67" fillId="0" borderId="33" xfId="29" applyFont="1" applyBorder="1" applyAlignment="1">
      <alignment horizontal="left" vertical="center"/>
    </xf>
    <xf numFmtId="0" fontId="66" fillId="0" borderId="34" xfId="29" applyFont="1" applyBorder="1" applyAlignment="1">
      <alignment vertical="center"/>
    </xf>
    <xf numFmtId="1" fontId="67" fillId="0" borderId="34" xfId="29" applyNumberFormat="1" applyFont="1" applyBorder="1" applyAlignment="1">
      <alignment horizontal="center" vertical="center"/>
    </xf>
    <xf numFmtId="165" fontId="38" fillId="0" borderId="34" xfId="29" applyNumberFormat="1" applyFont="1" applyBorder="1" applyAlignment="1">
      <alignment horizontal="right" vertical="center"/>
    </xf>
    <xf numFmtId="0" fontId="67" fillId="0" borderId="34" xfId="29" applyFont="1" applyBorder="1" applyAlignment="1">
      <alignment vertical="center"/>
    </xf>
    <xf numFmtId="165" fontId="67" fillId="0" borderId="0" xfId="29" applyNumberFormat="1" applyFont="1" applyAlignment="1">
      <alignment vertical="center"/>
    </xf>
    <xf numFmtId="0" fontId="67" fillId="0" borderId="0" xfId="29" applyFont="1" applyAlignment="1">
      <alignment vertical="center"/>
    </xf>
    <xf numFmtId="0" fontId="67" fillId="0" borderId="28" xfId="29" applyFont="1" applyBorder="1" applyAlignment="1">
      <alignment vertical="center"/>
    </xf>
    <xf numFmtId="165" fontId="66" fillId="0" borderId="15" xfId="29" applyNumberFormat="1" applyFont="1" applyBorder="1" applyAlignment="1">
      <alignment vertical="center"/>
    </xf>
    <xf numFmtId="1" fontId="67" fillId="0" borderId="15" xfId="29" applyNumberFormat="1" applyFont="1" applyBorder="1" applyAlignment="1">
      <alignment horizontal="center" vertical="center"/>
    </xf>
    <xf numFmtId="165" fontId="24" fillId="0" borderId="15" xfId="29" applyNumberFormat="1" applyFont="1" applyBorder="1" applyAlignment="1">
      <alignment horizontal="right" vertical="center"/>
    </xf>
    <xf numFmtId="14" fontId="66" fillId="0" borderId="15" xfId="29" applyNumberFormat="1" applyFont="1" applyBorder="1" applyAlignment="1">
      <alignment vertical="center"/>
    </xf>
    <xf numFmtId="0" fontId="66" fillId="0" borderId="29" xfId="29" applyFont="1" applyBorder="1" applyAlignment="1">
      <alignment vertical="center"/>
    </xf>
    <xf numFmtId="0" fontId="67" fillId="0" borderId="6" xfId="29" applyFont="1" applyBorder="1" applyAlignment="1">
      <alignment horizontal="left"/>
    </xf>
    <xf numFmtId="0" fontId="66" fillId="0" borderId="7" xfId="29" applyFont="1" applyBorder="1"/>
    <xf numFmtId="0" fontId="67" fillId="17" borderId="6" xfId="29" applyFont="1" applyFill="1" applyBorder="1" applyAlignment="1">
      <alignment horizontal="left"/>
    </xf>
    <xf numFmtId="0" fontId="66" fillId="17" borderId="7" xfId="29" applyFont="1" applyFill="1" applyBorder="1"/>
    <xf numFmtId="0" fontId="66" fillId="0" borderId="6" xfId="29" applyFont="1" applyBorder="1"/>
    <xf numFmtId="1" fontId="67" fillId="0" borderId="7" xfId="29" applyNumberFormat="1" applyFont="1" applyBorder="1" applyAlignment="1">
      <alignment horizontal="center" vertical="center"/>
    </xf>
    <xf numFmtId="0" fontId="67" fillId="0" borderId="22" xfId="29" applyFont="1" applyBorder="1" applyAlignment="1">
      <alignment horizontal="center" vertical="top"/>
    </xf>
    <xf numFmtId="0" fontId="67" fillId="0" borderId="17" xfId="29" applyFont="1" applyBorder="1" applyAlignment="1">
      <alignment vertical="top"/>
    </xf>
    <xf numFmtId="0" fontId="67" fillId="0" borderId="17" xfId="29" applyFont="1" applyBorder="1"/>
    <xf numFmtId="0" fontId="67" fillId="16" borderId="6" xfId="29" applyFont="1" applyFill="1" applyBorder="1" applyAlignment="1">
      <alignment horizontal="left"/>
    </xf>
    <xf numFmtId="0" fontId="66" fillId="16" borderId="7" xfId="29" applyFont="1" applyFill="1" applyBorder="1"/>
    <xf numFmtId="1" fontId="67" fillId="16" borderId="1" xfId="29" applyNumberFormat="1" applyFont="1" applyFill="1" applyBorder="1" applyAlignment="1">
      <alignment horizontal="center" vertical="center"/>
    </xf>
    <xf numFmtId="0" fontId="67" fillId="0" borderId="7" xfId="29" applyFont="1" applyBorder="1"/>
    <xf numFmtId="0" fontId="67" fillId="0" borderId="7" xfId="29" applyFont="1" applyBorder="1" applyAlignment="1">
      <alignment horizontal="left"/>
    </xf>
    <xf numFmtId="0" fontId="67" fillId="16" borderId="7" xfId="29" applyFont="1" applyFill="1" applyBorder="1"/>
    <xf numFmtId="0" fontId="66" fillId="11" borderId="34" xfId="29" applyFont="1" applyFill="1" applyBorder="1"/>
    <xf numFmtId="0" fontId="67" fillId="11" borderId="34" xfId="29" applyFont="1" applyFill="1" applyBorder="1"/>
    <xf numFmtId="1" fontId="67" fillId="11" borderId="34" xfId="29" applyNumberFormat="1" applyFont="1" applyFill="1" applyBorder="1" applyAlignment="1">
      <alignment horizontal="center" vertical="center"/>
    </xf>
    <xf numFmtId="0" fontId="66" fillId="0" borderId="34" xfId="29" applyFont="1" applyBorder="1"/>
    <xf numFmtId="1" fontId="67" fillId="0" borderId="34" xfId="29" applyNumberFormat="1" applyFont="1" applyBorder="1" applyAlignment="1">
      <alignment horizontal="center"/>
    </xf>
    <xf numFmtId="0" fontId="24" fillId="0" borderId="34" xfId="29" applyFont="1" applyBorder="1" applyAlignment="1">
      <alignment horizontal="right"/>
    </xf>
    <xf numFmtId="165" fontId="68" fillId="0" borderId="34" xfId="29" applyNumberFormat="1" applyFont="1" applyBorder="1"/>
    <xf numFmtId="37" fontId="68" fillId="0" borderId="34" xfId="29" applyNumberFormat="1" applyFont="1" applyBorder="1"/>
    <xf numFmtId="0" fontId="67" fillId="19" borderId="0" xfId="29" applyFont="1" applyFill="1"/>
    <xf numFmtId="1" fontId="67" fillId="19" borderId="0" xfId="29" applyNumberFormat="1" applyFont="1" applyFill="1" applyAlignment="1">
      <alignment horizontal="center"/>
    </xf>
    <xf numFmtId="0" fontId="38" fillId="19" borderId="0" xfId="29" applyFont="1" applyFill="1" applyAlignment="1">
      <alignment horizontal="right"/>
    </xf>
    <xf numFmtId="165" fontId="66" fillId="0" borderId="0" xfId="29" applyNumberFormat="1" applyFont="1"/>
    <xf numFmtId="43" fontId="66" fillId="0" borderId="0" xfId="29" applyNumberFormat="1" applyFont="1"/>
    <xf numFmtId="0" fontId="66" fillId="19" borderId="0" xfId="29" applyFont="1" applyFill="1"/>
    <xf numFmtId="0" fontId="24" fillId="19" borderId="0" xfId="29" applyFont="1" applyFill="1" applyAlignment="1">
      <alignment horizontal="right"/>
    </xf>
    <xf numFmtId="0" fontId="26" fillId="0" borderId="0" xfId="29" applyFont="1" applyAlignment="1">
      <alignment vertical="top"/>
    </xf>
    <xf numFmtId="1" fontId="67" fillId="0" borderId="0" xfId="29" applyNumberFormat="1" applyFont="1" applyAlignment="1">
      <alignment horizontal="center" vertical="top"/>
    </xf>
    <xf numFmtId="0" fontId="24" fillId="0" borderId="0" xfId="29" applyFont="1" applyAlignment="1">
      <alignment horizontal="right" vertical="top"/>
    </xf>
    <xf numFmtId="0" fontId="73" fillId="0" borderId="0" xfId="29" applyFont="1" applyAlignment="1">
      <alignment horizontal="left"/>
    </xf>
    <xf numFmtId="0" fontId="67" fillId="16" borderId="6" xfId="29" applyFont="1" applyFill="1" applyBorder="1" applyAlignment="1">
      <alignment horizontal="left" vertical="center"/>
    </xf>
    <xf numFmtId="0" fontId="66" fillId="16" borderId="30" xfId="29" applyFont="1" applyFill="1" applyBorder="1"/>
    <xf numFmtId="0" fontId="74" fillId="0" borderId="0" xfId="29" applyFont="1" applyAlignment="1">
      <alignment horizontal="center" vertical="top"/>
    </xf>
    <xf numFmtId="1" fontId="67" fillId="0" borderId="0" xfId="29" applyNumberFormat="1" applyFont="1" applyAlignment="1">
      <alignment horizontal="center" vertical="top" wrapText="1"/>
    </xf>
    <xf numFmtId="0" fontId="24" fillId="0" borderId="0" xfId="29" applyFont="1" applyAlignment="1">
      <alignment horizontal="right" vertical="top" wrapText="1"/>
    </xf>
    <xf numFmtId="0" fontId="74" fillId="0" borderId="0" xfId="29" applyFont="1" applyAlignment="1">
      <alignment horizontal="center" vertical="center"/>
    </xf>
    <xf numFmtId="0" fontId="12" fillId="5" borderId="7" xfId="15" applyFont="1" applyFill="1" applyBorder="1"/>
    <xf numFmtId="0" fontId="8" fillId="5" borderId="30" xfId="15" applyFont="1" applyFill="1" applyBorder="1"/>
    <xf numFmtId="0" fontId="8" fillId="6" borderId="30" xfId="15" applyFont="1" applyFill="1" applyBorder="1"/>
    <xf numFmtId="3" fontId="10" fillId="0" borderId="4" xfId="15" applyNumberFormat="1" applyFont="1" applyBorder="1" applyAlignment="1" applyProtection="1">
      <alignment vertical="center" wrapText="1"/>
      <protection locked="0"/>
    </xf>
    <xf numFmtId="0" fontId="15" fillId="6" borderId="0" xfId="15" quotePrefix="1" applyFont="1" applyFill="1" applyAlignment="1">
      <alignment horizontal="center" vertical="center"/>
    </xf>
    <xf numFmtId="0" fontId="15" fillId="6" borderId="0" xfId="15" applyFont="1" applyFill="1" applyAlignment="1">
      <alignment vertical="center"/>
    </xf>
    <xf numFmtId="0" fontId="10" fillId="0" borderId="0" xfId="15" applyFont="1" applyAlignment="1">
      <alignment vertical="center"/>
    </xf>
    <xf numFmtId="0" fontId="10" fillId="14" borderId="0" xfId="15" applyFont="1" applyFill="1" applyAlignment="1">
      <alignment vertical="center"/>
    </xf>
    <xf numFmtId="0" fontId="10" fillId="6" borderId="0" xfId="15" quotePrefix="1" applyFont="1" applyFill="1" applyAlignment="1">
      <alignment horizontal="center" vertical="center"/>
    </xf>
    <xf numFmtId="0" fontId="10" fillId="6" borderId="0" xfId="15" applyFont="1" applyFill="1" applyAlignment="1">
      <alignment vertical="center"/>
    </xf>
    <xf numFmtId="0" fontId="8" fillId="0" borderId="0" xfId="15" applyFont="1" applyAlignment="1">
      <alignment horizontal="left"/>
    </xf>
    <xf numFmtId="0" fontId="8" fillId="0" borderId="17" xfId="15" applyFont="1" applyBorder="1" applyAlignment="1">
      <alignment vertical="top"/>
    </xf>
    <xf numFmtId="0" fontId="10" fillId="0" borderId="12" xfId="15" applyFont="1" applyBorder="1" applyAlignment="1">
      <alignment horizontal="center"/>
    </xf>
    <xf numFmtId="0" fontId="10" fillId="0" borderId="0" xfId="15" applyFont="1" applyAlignment="1">
      <alignment vertical="center" wrapText="1"/>
    </xf>
    <xf numFmtId="3" fontId="8" fillId="0" borderId="1" xfId="15" applyNumberFormat="1" applyFont="1" applyBorder="1" applyAlignment="1">
      <alignment vertical="center"/>
    </xf>
    <xf numFmtId="0" fontId="8" fillId="0" borderId="0" xfId="15" applyFont="1" applyAlignment="1">
      <alignment vertical="center"/>
    </xf>
    <xf numFmtId="0" fontId="10" fillId="0" borderId="0" xfId="15" applyFont="1" applyAlignment="1">
      <alignment vertical="top"/>
    </xf>
    <xf numFmtId="0" fontId="10" fillId="14" borderId="0" xfId="15" applyFont="1" applyFill="1" applyAlignment="1">
      <alignment vertical="top"/>
    </xf>
    <xf numFmtId="0" fontId="8" fillId="0" borderId="20" xfId="15" applyFont="1" applyBorder="1" applyAlignment="1">
      <alignment horizontal="left"/>
    </xf>
    <xf numFmtId="3" fontId="10" fillId="0" borderId="0" xfId="15" applyNumberFormat="1" applyFont="1" applyAlignment="1">
      <alignment vertical="center"/>
    </xf>
    <xf numFmtId="0" fontId="8" fillId="0" borderId="0" xfId="15" applyFont="1"/>
    <xf numFmtId="0" fontId="8" fillId="0" borderId="6" xfId="15" applyFont="1" applyBorder="1" applyAlignment="1">
      <alignment horizontal="left"/>
    </xf>
    <xf numFmtId="0" fontId="10" fillId="0" borderId="7" xfId="15" applyFont="1" applyBorder="1"/>
    <xf numFmtId="3" fontId="10" fillId="0" borderId="1" xfId="15" applyNumberFormat="1" applyFont="1" applyBorder="1" applyAlignment="1">
      <alignment vertical="center"/>
    </xf>
    <xf numFmtId="3" fontId="10" fillId="0" borderId="7" xfId="15" applyNumberFormat="1" applyFont="1" applyBorder="1" applyAlignment="1">
      <alignment vertical="center"/>
    </xf>
    <xf numFmtId="0" fontId="18" fillId="0" borderId="0" xfId="15" applyFont="1"/>
    <xf numFmtId="0" fontId="10" fillId="0" borderId="0" xfId="15" applyFont="1" applyAlignment="1">
      <alignment horizontal="left" vertical="top" wrapText="1"/>
    </xf>
    <xf numFmtId="0" fontId="10" fillId="14" borderId="0" xfId="15" applyFont="1" applyFill="1" applyAlignment="1">
      <alignment horizontal="left" vertical="top" wrapText="1"/>
    </xf>
    <xf numFmtId="0" fontId="10" fillId="0" borderId="0" xfId="15" applyFont="1" applyAlignment="1">
      <alignment vertical="top" wrapText="1"/>
    </xf>
    <xf numFmtId="0" fontId="22" fillId="0" borderId="0" xfId="15" applyFont="1" applyAlignment="1">
      <alignment vertical="top"/>
    </xf>
    <xf numFmtId="0" fontId="22" fillId="0" borderId="0" xfId="15" applyFont="1" applyAlignment="1">
      <alignment vertical="top" wrapText="1"/>
    </xf>
    <xf numFmtId="0" fontId="22" fillId="14" borderId="0" xfId="15" applyFont="1" applyFill="1" applyAlignment="1">
      <alignment vertical="top" wrapText="1"/>
    </xf>
    <xf numFmtId="0" fontId="22" fillId="14" borderId="0" xfId="15" applyFont="1" applyFill="1" applyAlignment="1">
      <alignment horizontal="center" vertical="top" wrapText="1"/>
    </xf>
    <xf numFmtId="169" fontId="70" fillId="0" borderId="14" xfId="29" applyNumberFormat="1" applyFont="1" applyBorder="1" applyProtection="1">
      <protection locked="0"/>
    </xf>
    <xf numFmtId="4" fontId="66" fillId="0" borderId="20" xfId="0" applyNumberFormat="1" applyFont="1" applyBorder="1"/>
    <xf numFmtId="164" fontId="24" fillId="0" borderId="8" xfId="16" applyNumberFormat="1" applyFont="1" applyBorder="1"/>
    <xf numFmtId="164" fontId="24" fillId="0" borderId="0" xfId="17" applyNumberFormat="1" applyFont="1"/>
    <xf numFmtId="0" fontId="66" fillId="27" borderId="7" xfId="29" applyFont="1" applyFill="1" applyBorder="1" applyAlignment="1">
      <alignment vertical="center"/>
    </xf>
    <xf numFmtId="0" fontId="11" fillId="0" borderId="0" xfId="15" applyFont="1" applyAlignment="1">
      <alignment horizontal="right"/>
    </xf>
    <xf numFmtId="3" fontId="3" fillId="0" borderId="0" xfId="29" applyNumberFormat="1" applyFont="1" applyAlignment="1" applyProtection="1">
      <alignment horizontal="center"/>
      <protection locked="0"/>
    </xf>
    <xf numFmtId="10" fontId="52" fillId="0" borderId="0" xfId="0" applyNumberFormat="1" applyFont="1" applyAlignment="1" applyProtection="1">
      <alignment horizontal="center"/>
      <protection locked="0"/>
    </xf>
    <xf numFmtId="165" fontId="67" fillId="0" borderId="0" xfId="29" applyNumberFormat="1" applyFont="1" applyProtection="1">
      <protection locked="0"/>
    </xf>
    <xf numFmtId="171" fontId="66" fillId="11" borderId="31" xfId="1" applyNumberFormat="1" applyFont="1" applyFill="1" applyBorder="1" applyAlignment="1" applyProtection="1">
      <alignment vertical="center"/>
      <protection locked="0"/>
    </xf>
    <xf numFmtId="0" fontId="43" fillId="0" borderId="0" xfId="15" applyFont="1" applyAlignment="1">
      <alignment vertical="top"/>
    </xf>
    <xf numFmtId="0" fontId="18" fillId="0" borderId="6" xfId="15" applyFont="1" applyBorder="1"/>
    <xf numFmtId="0" fontId="18" fillId="0" borderId="1" xfId="15" applyFont="1" applyBorder="1"/>
    <xf numFmtId="164" fontId="33" fillId="0" borderId="14" xfId="0" applyNumberFormat="1" applyFont="1" applyBorder="1" applyProtection="1">
      <protection locked="0"/>
    </xf>
    <xf numFmtId="0" fontId="57" fillId="0" borderId="0" xfId="0" applyFont="1" applyProtection="1">
      <protection locked="0"/>
    </xf>
    <xf numFmtId="0" fontId="67" fillId="16" borderId="38" xfId="0" applyFont="1" applyFill="1" applyBorder="1" applyAlignment="1">
      <alignment horizontal="center" vertical="center"/>
    </xf>
    <xf numFmtId="164" fontId="66" fillId="11" borderId="24" xfId="1" applyNumberFormat="1" applyFont="1" applyFill="1" applyBorder="1" applyAlignment="1" applyProtection="1">
      <alignment vertical="center"/>
      <protection locked="0"/>
    </xf>
    <xf numFmtId="1" fontId="67" fillId="0" borderId="4" xfId="1" applyNumberFormat="1" applyFont="1" applyFill="1" applyBorder="1" applyAlignment="1" applyProtection="1">
      <alignment horizontal="center" vertical="center"/>
    </xf>
    <xf numFmtId="165" fontId="67" fillId="0" borderId="4" xfId="1" applyNumberFormat="1" applyFont="1" applyFill="1" applyBorder="1" applyAlignment="1" applyProtection="1">
      <alignment horizontal="right" vertical="center"/>
    </xf>
    <xf numFmtId="1" fontId="67" fillId="0" borderId="40" xfId="1" applyNumberFormat="1" applyFont="1" applyFill="1" applyBorder="1" applyAlignment="1" applyProtection="1">
      <alignment horizontal="center" vertical="center"/>
    </xf>
    <xf numFmtId="165" fontId="67" fillId="0" borderId="40" xfId="1" applyNumberFormat="1" applyFont="1" applyFill="1" applyBorder="1" applyAlignment="1" applyProtection="1">
      <alignment horizontal="right" vertical="center"/>
    </xf>
    <xf numFmtId="165" fontId="66" fillId="11" borderId="41" xfId="1" applyNumberFormat="1" applyFont="1" applyFill="1" applyBorder="1" applyAlignment="1" applyProtection="1">
      <alignment vertical="center"/>
      <protection locked="0"/>
    </xf>
    <xf numFmtId="0" fontId="66" fillId="0" borderId="42" xfId="0" applyFont="1" applyBorder="1" applyAlignment="1">
      <alignment vertical="center"/>
    </xf>
    <xf numFmtId="0" fontId="66" fillId="0" borderId="43" xfId="0" applyFont="1" applyBorder="1" applyAlignment="1">
      <alignment horizontal="center" vertical="center"/>
    </xf>
    <xf numFmtId="0" fontId="66" fillId="0" borderId="43" xfId="0" applyFont="1" applyBorder="1" applyAlignment="1">
      <alignment vertical="center"/>
    </xf>
    <xf numFmtId="1" fontId="67" fillId="0" borderId="44" xfId="1" applyNumberFormat="1" applyFont="1" applyFill="1" applyBorder="1" applyAlignment="1" applyProtection="1">
      <alignment horizontal="center" vertical="center"/>
    </xf>
    <xf numFmtId="165" fontId="67" fillId="0" borderId="44" xfId="1" applyNumberFormat="1" applyFont="1" applyFill="1" applyBorder="1" applyAlignment="1" applyProtection="1">
      <alignment horizontal="right" vertical="center"/>
    </xf>
    <xf numFmtId="165" fontId="66" fillId="11" borderId="45" xfId="1" applyNumberFormat="1" applyFont="1" applyFill="1" applyBorder="1" applyAlignment="1" applyProtection="1">
      <alignment vertical="center"/>
      <protection locked="0"/>
    </xf>
    <xf numFmtId="0" fontId="24" fillId="0" borderId="12" xfId="0" applyFont="1" applyBorder="1" applyAlignment="1">
      <alignment vertical="center"/>
    </xf>
    <xf numFmtId="0" fontId="24" fillId="0" borderId="43" xfId="0" applyFont="1" applyBorder="1" applyAlignment="1">
      <alignment vertical="center"/>
    </xf>
    <xf numFmtId="1" fontId="67" fillId="16" borderId="4" xfId="1" applyNumberFormat="1" applyFont="1" applyFill="1" applyBorder="1" applyAlignment="1" applyProtection="1">
      <alignment horizontal="center" vertical="center"/>
    </xf>
    <xf numFmtId="165" fontId="67" fillId="16" borderId="4" xfId="1" applyNumberFormat="1" applyFont="1" applyFill="1" applyBorder="1" applyAlignment="1" applyProtection="1">
      <alignment horizontal="right" vertical="center"/>
    </xf>
    <xf numFmtId="3" fontId="66" fillId="11" borderId="10" xfId="1" applyNumberFormat="1" applyFont="1" applyFill="1" applyBorder="1" applyAlignment="1" applyProtection="1">
      <alignment vertical="center"/>
      <protection locked="0"/>
    </xf>
    <xf numFmtId="0" fontId="66" fillId="16" borderId="42" xfId="0" applyFont="1" applyFill="1" applyBorder="1" applyAlignment="1">
      <alignment vertical="center"/>
    </xf>
    <xf numFmtId="0" fontId="66" fillId="16" borderId="43" xfId="0" quotePrefix="1" applyFont="1" applyFill="1" applyBorder="1" applyAlignment="1">
      <alignment horizontal="center" vertical="center"/>
    </xf>
    <xf numFmtId="0" fontId="66" fillId="16" borderId="43" xfId="0" applyFont="1" applyFill="1" applyBorder="1" applyAlignment="1">
      <alignment vertical="center"/>
    </xf>
    <xf numFmtId="1" fontId="67" fillId="16" borderId="44" xfId="1" applyNumberFormat="1" applyFont="1" applyFill="1" applyBorder="1" applyAlignment="1" applyProtection="1">
      <alignment horizontal="center" vertical="center"/>
    </xf>
    <xf numFmtId="165" fontId="67" fillId="16" borderId="44" xfId="1" applyNumberFormat="1" applyFont="1" applyFill="1" applyBorder="1" applyAlignment="1" applyProtection="1">
      <alignment horizontal="right" vertical="center"/>
    </xf>
    <xf numFmtId="1" fontId="67" fillId="16" borderId="4" xfId="0" applyNumberFormat="1" applyFont="1" applyFill="1" applyBorder="1" applyAlignment="1">
      <alignment horizontal="center" vertical="center"/>
    </xf>
    <xf numFmtId="165" fontId="67" fillId="16" borderId="4" xfId="1" applyNumberFormat="1" applyFont="1" applyFill="1" applyBorder="1" applyAlignment="1" applyProtection="1">
      <alignment vertical="center"/>
    </xf>
    <xf numFmtId="165" fontId="72" fillId="16" borderId="4" xfId="1" applyNumberFormat="1" applyFont="1" applyFill="1" applyBorder="1" applyAlignment="1" applyProtection="1">
      <alignment vertical="center"/>
    </xf>
    <xf numFmtId="165" fontId="66" fillId="16" borderId="4" xfId="1" applyNumberFormat="1" applyFont="1" applyFill="1" applyBorder="1" applyAlignment="1" applyProtection="1">
      <alignment horizontal="right" vertical="center"/>
    </xf>
    <xf numFmtId="165" fontId="66" fillId="16" borderId="4" xfId="1" applyNumberFormat="1" applyFont="1" applyFill="1" applyBorder="1" applyAlignment="1" applyProtection="1">
      <alignment vertical="center"/>
    </xf>
    <xf numFmtId="165" fontId="66" fillId="11" borderId="4" xfId="1" applyNumberFormat="1" applyFont="1" applyFill="1" applyBorder="1" applyAlignment="1" applyProtection="1">
      <alignment vertical="center"/>
      <protection locked="0"/>
    </xf>
    <xf numFmtId="165" fontId="66" fillId="0" borderId="4" xfId="1" applyNumberFormat="1" applyFont="1" applyFill="1" applyBorder="1" applyAlignment="1" applyProtection="1">
      <alignment vertical="center"/>
    </xf>
    <xf numFmtId="165" fontId="66" fillId="11" borderId="18" xfId="1" applyNumberFormat="1" applyFont="1" applyFill="1" applyBorder="1" applyAlignment="1" applyProtection="1">
      <alignment vertical="center" wrapText="1"/>
      <protection locked="0"/>
    </xf>
    <xf numFmtId="165" fontId="71" fillId="0" borderId="4" xfId="1" applyNumberFormat="1" applyFont="1" applyFill="1" applyBorder="1" applyAlignment="1" applyProtection="1">
      <alignment vertical="center"/>
    </xf>
    <xf numFmtId="0" fontId="67" fillId="0" borderId="43" xfId="0" applyFont="1" applyBorder="1" applyAlignment="1">
      <alignment horizontal="left"/>
    </xf>
    <xf numFmtId="0" fontId="66" fillId="0" borderId="43" xfId="0" applyFont="1" applyBorder="1"/>
    <xf numFmtId="1" fontId="67" fillId="0" borderId="43" xfId="0" applyNumberFormat="1" applyFont="1" applyBorder="1" applyAlignment="1">
      <alignment horizontal="center" vertical="center"/>
    </xf>
    <xf numFmtId="165" fontId="67" fillId="0" borderId="43" xfId="1" applyNumberFormat="1" applyFont="1" applyFill="1" applyBorder="1" applyAlignment="1" applyProtection="1">
      <alignment horizontal="right" vertical="center"/>
    </xf>
    <xf numFmtId="165" fontId="66" fillId="0" borderId="43" xfId="1" applyNumberFormat="1" applyFont="1" applyFill="1" applyBorder="1" applyAlignment="1" applyProtection="1">
      <alignment vertical="center"/>
    </xf>
    <xf numFmtId="165" fontId="67" fillId="16" borderId="13" xfId="1" applyNumberFormat="1" applyFont="1" applyFill="1" applyBorder="1" applyAlignment="1">
      <alignment horizontal="right" vertical="center"/>
    </xf>
    <xf numFmtId="1" fontId="67" fillId="0" borderId="4" xfId="1" applyNumberFormat="1" applyFont="1" applyBorder="1" applyAlignment="1">
      <alignment horizontal="center" vertical="center"/>
    </xf>
    <xf numFmtId="165" fontId="67" fillId="0" borderId="4" xfId="1" applyNumberFormat="1" applyFont="1" applyBorder="1" applyAlignment="1">
      <alignment horizontal="right" vertical="center"/>
    </xf>
    <xf numFmtId="165" fontId="66" fillId="0" borderId="10" xfId="1" applyNumberFormat="1" applyFont="1" applyBorder="1" applyAlignment="1">
      <alignment vertical="center"/>
    </xf>
    <xf numFmtId="1" fontId="67" fillId="0" borderId="40" xfId="1" applyNumberFormat="1" applyFont="1" applyBorder="1" applyAlignment="1">
      <alignment horizontal="center" vertical="center"/>
    </xf>
    <xf numFmtId="165" fontId="67" fillId="0" borderId="40" xfId="1" applyNumberFormat="1" applyFont="1" applyBorder="1" applyAlignment="1">
      <alignment horizontal="right" vertical="center"/>
    </xf>
    <xf numFmtId="1" fontId="67" fillId="0" borderId="44" xfId="1" applyNumberFormat="1" applyFont="1" applyBorder="1" applyAlignment="1">
      <alignment horizontal="center" vertical="center"/>
    </xf>
    <xf numFmtId="165" fontId="67" fillId="0" borderId="44" xfId="1" applyNumberFormat="1" applyFont="1" applyBorder="1" applyAlignment="1">
      <alignment horizontal="right" vertical="center"/>
    </xf>
    <xf numFmtId="1" fontId="67" fillId="16" borderId="4" xfId="1" applyNumberFormat="1" applyFont="1" applyFill="1" applyBorder="1" applyAlignment="1">
      <alignment horizontal="center" vertical="center"/>
    </xf>
    <xf numFmtId="165" fontId="67" fillId="16" borderId="4" xfId="1" applyNumberFormat="1" applyFont="1" applyFill="1" applyBorder="1" applyAlignment="1">
      <alignment horizontal="right" vertical="center"/>
    </xf>
    <xf numFmtId="165" fontId="67" fillId="16" borderId="10" xfId="1" applyNumberFormat="1" applyFont="1" applyFill="1" applyBorder="1" applyAlignment="1">
      <alignment horizontal="center" vertical="center"/>
    </xf>
    <xf numFmtId="165" fontId="66" fillId="16" borderId="10" xfId="1" applyNumberFormat="1" applyFont="1" applyFill="1" applyBorder="1" applyAlignment="1">
      <alignment vertical="center"/>
    </xf>
    <xf numFmtId="165" fontId="71" fillId="16" borderId="10" xfId="1" applyNumberFormat="1" applyFont="1" applyFill="1" applyBorder="1" applyAlignment="1">
      <alignment vertical="center"/>
    </xf>
    <xf numFmtId="1" fontId="67" fillId="16" borderId="44" xfId="1" applyNumberFormat="1" applyFont="1" applyFill="1" applyBorder="1" applyAlignment="1">
      <alignment horizontal="center" vertical="center"/>
    </xf>
    <xf numFmtId="165" fontId="67" fillId="16" borderId="44" xfId="1" applyNumberFormat="1" applyFont="1" applyFill="1" applyBorder="1" applyAlignment="1">
      <alignment horizontal="right" vertical="center"/>
    </xf>
    <xf numFmtId="165" fontId="67" fillId="16" borderId="4" xfId="1" applyNumberFormat="1" applyFont="1" applyFill="1" applyBorder="1" applyAlignment="1">
      <alignment vertical="center"/>
    </xf>
    <xf numFmtId="165" fontId="72" fillId="16" borderId="4" xfId="1" applyNumberFormat="1" applyFont="1" applyFill="1" applyBorder="1" applyAlignment="1">
      <alignment vertical="center"/>
    </xf>
    <xf numFmtId="165" fontId="66" fillId="16" borderId="4" xfId="1" applyNumberFormat="1" applyFont="1" applyFill="1" applyBorder="1" applyAlignment="1">
      <alignment horizontal="right" vertical="center"/>
    </xf>
    <xf numFmtId="165" fontId="66" fillId="16" borderId="4" xfId="1" applyNumberFormat="1" applyFont="1" applyFill="1" applyBorder="1" applyAlignment="1">
      <alignment vertical="center"/>
    </xf>
    <xf numFmtId="165" fontId="67" fillId="0" borderId="18" xfId="1" applyNumberFormat="1" applyFont="1" applyBorder="1" applyAlignment="1">
      <alignment horizontal="right" vertical="center" wrapText="1"/>
    </xf>
    <xf numFmtId="165" fontId="66" fillId="0" borderId="4" xfId="1" applyNumberFormat="1" applyFont="1" applyBorder="1" applyAlignment="1">
      <alignment vertical="center"/>
    </xf>
    <xf numFmtId="165" fontId="67" fillId="0" borderId="18" xfId="1" applyNumberFormat="1" applyFont="1" applyBorder="1" applyAlignment="1">
      <alignment horizontal="right" vertical="center"/>
    </xf>
    <xf numFmtId="165" fontId="67" fillId="16" borderId="18" xfId="1" applyNumberFormat="1" applyFont="1" applyFill="1" applyBorder="1" applyAlignment="1">
      <alignment horizontal="right" vertical="center" wrapText="1"/>
    </xf>
    <xf numFmtId="165" fontId="66" fillId="0" borderId="12" xfId="1" applyNumberFormat="1" applyFont="1" applyBorder="1" applyAlignment="1">
      <alignment horizontal="right" vertical="center"/>
    </xf>
    <xf numFmtId="165" fontId="66" fillId="0" borderId="12" xfId="1" applyNumberFormat="1" applyFont="1" applyBorder="1" applyAlignment="1">
      <alignment vertical="center"/>
    </xf>
    <xf numFmtId="165" fontId="71" fillId="0" borderId="4" xfId="1" applyNumberFormat="1" applyFont="1" applyBorder="1" applyAlignment="1">
      <alignment vertical="center"/>
    </xf>
    <xf numFmtId="165" fontId="67" fillId="0" borderId="43" xfId="1" applyNumberFormat="1" applyFont="1" applyBorder="1" applyAlignment="1">
      <alignment horizontal="right" vertical="center"/>
    </xf>
    <xf numFmtId="165" fontId="66" fillId="0" borderId="43" xfId="1" applyNumberFormat="1" applyFont="1" applyBorder="1" applyAlignment="1">
      <alignment vertical="center"/>
    </xf>
    <xf numFmtId="0" fontId="9" fillId="28" borderId="18" xfId="0" applyFont="1" applyFill="1" applyBorder="1" applyAlignment="1">
      <alignment horizontal="center" vertical="center"/>
    </xf>
    <xf numFmtId="0" fontId="9" fillId="28" borderId="12" xfId="0" applyFont="1" applyFill="1" applyBorder="1" applyAlignment="1">
      <alignment horizontal="left" vertical="center"/>
    </xf>
    <xf numFmtId="0" fontId="9" fillId="28" borderId="16" xfId="0" applyFont="1" applyFill="1" applyBorder="1" applyAlignment="1">
      <alignment horizontal="center" vertical="center"/>
    </xf>
    <xf numFmtId="0" fontId="9" fillId="28" borderId="12" xfId="0" applyFont="1" applyFill="1" applyBorder="1" applyAlignment="1">
      <alignment horizontal="center" vertical="center"/>
    </xf>
    <xf numFmtId="1" fontId="9" fillId="28" borderId="4" xfId="0" applyNumberFormat="1" applyFont="1" applyFill="1" applyBorder="1" applyAlignment="1">
      <alignment horizontal="center" vertical="center"/>
    </xf>
    <xf numFmtId="0" fontId="4" fillId="5" borderId="46" xfId="0" applyFont="1" applyFill="1" applyBorder="1" applyAlignment="1">
      <alignment vertical="center"/>
    </xf>
    <xf numFmtId="0" fontId="4" fillId="5" borderId="47" xfId="0" applyFont="1" applyFill="1" applyBorder="1" applyAlignment="1">
      <alignment vertical="center"/>
    </xf>
    <xf numFmtId="0" fontId="4" fillId="5" borderId="48" xfId="0" applyFont="1" applyFill="1" applyBorder="1" applyAlignment="1">
      <alignment vertical="center"/>
    </xf>
    <xf numFmtId="0" fontId="4" fillId="5" borderId="38" xfId="0" applyFont="1" applyFill="1" applyBorder="1" applyAlignment="1">
      <alignment vertical="center"/>
    </xf>
    <xf numFmtId="0" fontId="4" fillId="5" borderId="16" xfId="0" quotePrefix="1" applyFont="1" applyFill="1" applyBorder="1" applyAlignment="1">
      <alignment horizontal="center" vertical="center"/>
    </xf>
    <xf numFmtId="0" fontId="4" fillId="5" borderId="12" xfId="0" applyFont="1" applyFill="1" applyBorder="1" applyAlignment="1">
      <alignment vertical="center"/>
    </xf>
    <xf numFmtId="0" fontId="4" fillId="5" borderId="16" xfId="0" applyFont="1" applyFill="1" applyBorder="1" applyAlignment="1">
      <alignment vertical="center"/>
    </xf>
    <xf numFmtId="1" fontId="9" fillId="5" borderId="13" xfId="4" applyNumberFormat="1" applyFont="1" applyFill="1" applyBorder="1" applyAlignment="1" applyProtection="1">
      <alignment horizontal="center" vertical="center"/>
    </xf>
    <xf numFmtId="0" fontId="4" fillId="0" borderId="38" xfId="0" applyFont="1" applyBorder="1" applyAlignment="1">
      <alignment vertical="center"/>
    </xf>
    <xf numFmtId="0" fontId="4" fillId="0" borderId="16" xfId="0" quotePrefix="1" applyFont="1" applyBorder="1" applyAlignment="1">
      <alignment horizontal="center" vertical="center"/>
    </xf>
    <xf numFmtId="0" fontId="4" fillId="0" borderId="12" xfId="0" applyFont="1" applyBorder="1" applyAlignment="1">
      <alignment vertical="center"/>
    </xf>
    <xf numFmtId="0" fontId="4" fillId="0" borderId="16" xfId="0" applyFont="1" applyBorder="1" applyAlignment="1">
      <alignment vertical="center"/>
    </xf>
    <xf numFmtId="0" fontId="4" fillId="0" borderId="48" xfId="0" applyFont="1" applyBorder="1" applyAlignment="1">
      <alignment vertical="center"/>
    </xf>
    <xf numFmtId="1" fontId="9" fillId="0" borderId="13" xfId="4" applyNumberFormat="1" applyFont="1" applyFill="1" applyBorder="1" applyAlignment="1" applyProtection="1">
      <alignment horizontal="center" vertical="center"/>
    </xf>
    <xf numFmtId="0" fontId="4" fillId="5" borderId="18" xfId="0" applyFont="1" applyFill="1" applyBorder="1" applyAlignment="1">
      <alignment vertical="center"/>
    </xf>
    <xf numFmtId="0" fontId="4" fillId="5" borderId="12" xfId="0" quotePrefix="1" applyFont="1" applyFill="1" applyBorder="1" applyAlignment="1">
      <alignment horizontal="center" vertical="center"/>
    </xf>
    <xf numFmtId="0" fontId="4" fillId="0" borderId="18" xfId="0" applyFont="1" applyBorder="1" applyAlignment="1">
      <alignment vertical="center"/>
    </xf>
    <xf numFmtId="0" fontId="4" fillId="0" borderId="12" xfId="0" applyFont="1" applyBorder="1" applyAlignment="1">
      <alignment horizontal="center" vertical="center"/>
    </xf>
    <xf numFmtId="1" fontId="9" fillId="0" borderId="4" xfId="4" applyNumberFormat="1" applyFont="1" applyFill="1" applyBorder="1" applyAlignment="1" applyProtection="1">
      <alignment horizontal="center" vertical="center"/>
    </xf>
    <xf numFmtId="0" fontId="4" fillId="0" borderId="16" xfId="0" applyFont="1" applyBorder="1" applyAlignment="1">
      <alignment horizontal="center" vertical="center"/>
    </xf>
    <xf numFmtId="1" fontId="9" fillId="0" borderId="40" xfId="4" applyNumberFormat="1" applyFont="1" applyFill="1" applyBorder="1" applyAlignment="1" applyProtection="1">
      <alignment horizontal="center" vertical="center"/>
    </xf>
    <xf numFmtId="0" fontId="4" fillId="0" borderId="42" xfId="0" applyFont="1" applyBorder="1" applyAlignment="1">
      <alignment vertical="center"/>
    </xf>
    <xf numFmtId="0" fontId="4" fillId="0" borderId="43" xfId="0" applyFont="1" applyBorder="1" applyAlignment="1">
      <alignment horizontal="center" vertical="center"/>
    </xf>
    <xf numFmtId="0" fontId="4" fillId="0" borderId="43" xfId="0" applyFont="1" applyBorder="1" applyAlignment="1">
      <alignment vertical="center"/>
    </xf>
    <xf numFmtId="1" fontId="9" fillId="0" borderId="44" xfId="4" applyNumberFormat="1" applyFont="1" applyFill="1" applyBorder="1" applyAlignment="1" applyProtection="1">
      <alignment horizontal="center" vertical="center"/>
    </xf>
    <xf numFmtId="0" fontId="76" fillId="0" borderId="12" xfId="0" applyFont="1" applyBorder="1" applyAlignment="1">
      <alignment vertical="center"/>
    </xf>
    <xf numFmtId="0" fontId="4" fillId="0" borderId="16" xfId="0" applyFont="1" applyBorder="1" applyAlignment="1">
      <alignment vertical="center" wrapText="1"/>
    </xf>
    <xf numFmtId="1" fontId="9" fillId="5" borderId="4" xfId="4" applyNumberFormat="1" applyFont="1" applyFill="1" applyBorder="1" applyAlignment="1" applyProtection="1">
      <alignment horizontal="center" vertical="center"/>
    </xf>
    <xf numFmtId="4" fontId="66" fillId="0" borderId="4" xfId="0" applyNumberFormat="1" applyFont="1" applyBorder="1"/>
    <xf numFmtId="0" fontId="4" fillId="0" borderId="12" xfId="0" quotePrefix="1" applyFont="1" applyBorder="1" applyAlignment="1">
      <alignment horizontal="center" vertical="center"/>
    </xf>
    <xf numFmtId="0" fontId="4" fillId="0" borderId="43" xfId="0" quotePrefix="1" applyFont="1" applyBorder="1" applyAlignment="1">
      <alignment horizontal="center" vertical="center"/>
    </xf>
    <xf numFmtId="0" fontId="9" fillId="5" borderId="18" xfId="0" applyFont="1" applyFill="1" applyBorder="1" applyAlignment="1">
      <alignment horizontal="center"/>
    </xf>
    <xf numFmtId="0" fontId="9" fillId="5" borderId="12" xfId="0" applyFont="1" applyFill="1" applyBorder="1"/>
    <xf numFmtId="0" fontId="4" fillId="5" borderId="12" xfId="0" applyFont="1" applyFill="1" applyBorder="1"/>
    <xf numFmtId="1" fontId="9" fillId="5" borderId="4" xfId="0" applyNumberFormat="1" applyFont="1" applyFill="1" applyBorder="1" applyAlignment="1">
      <alignment horizontal="center" vertical="center"/>
    </xf>
    <xf numFmtId="0" fontId="4" fillId="5" borderId="18" xfId="0" applyFont="1" applyFill="1" applyBorder="1"/>
    <xf numFmtId="0" fontId="4" fillId="5" borderId="12" xfId="0" applyFont="1" applyFill="1" applyBorder="1" applyAlignment="1">
      <alignment horizontal="center"/>
    </xf>
    <xf numFmtId="0" fontId="4" fillId="0" borderId="18" xfId="0" applyFont="1" applyBorder="1" applyAlignment="1">
      <alignment vertical="top"/>
    </xf>
    <xf numFmtId="0" fontId="4" fillId="0" borderId="12" xfId="0" applyFont="1" applyBorder="1" applyAlignment="1">
      <alignment horizontal="center" vertical="top"/>
    </xf>
    <xf numFmtId="0" fontId="4" fillId="0" borderId="12" xfId="0" applyFont="1" applyBorder="1" applyAlignment="1">
      <alignment vertical="top"/>
    </xf>
    <xf numFmtId="1" fontId="9" fillId="0" borderId="18" xfId="0" applyNumberFormat="1" applyFont="1" applyBorder="1" applyAlignment="1">
      <alignment horizontal="center" vertical="center" wrapText="1"/>
    </xf>
    <xf numFmtId="1" fontId="9" fillId="0" borderId="18" xfId="0" applyNumberFormat="1" applyFont="1" applyBorder="1" applyAlignment="1">
      <alignment horizontal="center" vertical="center"/>
    </xf>
    <xf numFmtId="0" fontId="4" fillId="5" borderId="18" xfId="0" applyFont="1" applyFill="1" applyBorder="1" applyAlignment="1">
      <alignment vertical="top"/>
    </xf>
    <xf numFmtId="0" fontId="4" fillId="5" borderId="12" xfId="0" quotePrefix="1" applyFont="1" applyFill="1" applyBorder="1" applyAlignment="1">
      <alignment horizontal="center" vertical="top"/>
    </xf>
    <xf numFmtId="0" fontId="4" fillId="5" borderId="12" xfId="0" applyFont="1" applyFill="1" applyBorder="1" applyAlignment="1">
      <alignment vertical="top"/>
    </xf>
    <xf numFmtId="1" fontId="9" fillId="5" borderId="18" xfId="0" applyNumberFormat="1" applyFont="1" applyFill="1" applyBorder="1" applyAlignment="1">
      <alignment horizontal="center" vertical="center" wrapText="1"/>
    </xf>
    <xf numFmtId="1" fontId="9" fillId="0" borderId="12" xfId="0" applyNumberFormat="1" applyFont="1" applyBorder="1" applyAlignment="1">
      <alignment horizontal="center" vertical="center"/>
    </xf>
    <xf numFmtId="0" fontId="9" fillId="5" borderId="18" xfId="0" applyFont="1" applyFill="1" applyBorder="1" applyAlignment="1">
      <alignment horizontal="center" vertical="top"/>
    </xf>
    <xf numFmtId="0" fontId="9" fillId="5" borderId="12" xfId="0" applyFont="1" applyFill="1" applyBorder="1" applyAlignment="1">
      <alignment vertical="top"/>
    </xf>
    <xf numFmtId="4" fontId="66" fillId="0" borderId="49" xfId="0" applyNumberFormat="1" applyFont="1" applyBorder="1"/>
    <xf numFmtId="0" fontId="9" fillId="0" borderId="43" xfId="0" applyFont="1" applyBorder="1" applyAlignment="1">
      <alignment horizontal="left"/>
    </xf>
    <xf numFmtId="0" fontId="4" fillId="0" borderId="43" xfId="0" applyFont="1" applyBorder="1"/>
    <xf numFmtId="1" fontId="9" fillId="0" borderId="43" xfId="0" applyNumberFormat="1" applyFont="1" applyBorder="1" applyAlignment="1">
      <alignment horizontal="center" vertical="center"/>
    </xf>
    <xf numFmtId="0" fontId="67" fillId="16" borderId="38" xfId="29" applyFont="1" applyFill="1" applyBorder="1" applyAlignment="1">
      <alignment horizontal="center" vertical="center"/>
    </xf>
    <xf numFmtId="0" fontId="67" fillId="16" borderId="16" xfId="29" applyFont="1" applyFill="1" applyBorder="1" applyAlignment="1">
      <alignment horizontal="left" vertical="center"/>
    </xf>
    <xf numFmtId="0" fontId="67" fillId="16" borderId="16" xfId="29" applyFont="1" applyFill="1" applyBorder="1" applyAlignment="1">
      <alignment horizontal="center" vertical="center"/>
    </xf>
    <xf numFmtId="1" fontId="67" fillId="16" borderId="13" xfId="29" applyNumberFormat="1" applyFont="1" applyFill="1" applyBorder="1" applyAlignment="1">
      <alignment horizontal="center" vertical="center"/>
    </xf>
    <xf numFmtId="165" fontId="38" fillId="16" borderId="13" xfId="28" applyNumberFormat="1" applyFont="1" applyFill="1" applyBorder="1" applyAlignment="1" applyProtection="1">
      <alignment horizontal="right" vertical="center"/>
    </xf>
    <xf numFmtId="165" fontId="67" fillId="16" borderId="48" xfId="28" applyNumberFormat="1" applyFont="1" applyFill="1" applyBorder="1" applyAlignment="1" applyProtection="1">
      <alignment horizontal="center" vertical="center"/>
    </xf>
    <xf numFmtId="0" fontId="66" fillId="0" borderId="18" xfId="29" applyFont="1" applyBorder="1" applyAlignment="1">
      <alignment vertical="center"/>
    </xf>
    <xf numFmtId="0" fontId="66" fillId="0" borderId="12" xfId="29" applyFont="1" applyBorder="1" applyAlignment="1">
      <alignment horizontal="center" vertical="center"/>
    </xf>
    <xf numFmtId="0" fontId="66" fillId="0" borderId="12" xfId="29" applyFont="1" applyBorder="1" applyAlignment="1">
      <alignment vertical="center"/>
    </xf>
    <xf numFmtId="1" fontId="67" fillId="0" borderId="4" xfId="28" applyNumberFormat="1" applyFont="1" applyFill="1" applyBorder="1" applyAlignment="1" applyProtection="1">
      <alignment horizontal="center" vertical="center"/>
    </xf>
    <xf numFmtId="165" fontId="38" fillId="0" borderId="4" xfId="28" applyNumberFormat="1" applyFont="1" applyFill="1" applyBorder="1" applyAlignment="1" applyProtection="1">
      <alignment horizontal="right" vertical="center"/>
    </xf>
    <xf numFmtId="165" fontId="66" fillId="0" borderId="10" xfId="28" applyNumberFormat="1" applyFont="1" applyBorder="1" applyAlignment="1" applyProtection="1">
      <alignment vertical="center"/>
    </xf>
    <xf numFmtId="0" fontId="66" fillId="0" borderId="38" xfId="29" applyFont="1" applyBorder="1" applyAlignment="1">
      <alignment vertical="center"/>
    </xf>
    <xf numFmtId="0" fontId="66" fillId="0" borderId="16" xfId="29" applyFont="1" applyBorder="1" applyAlignment="1">
      <alignment horizontal="center" vertical="center"/>
    </xf>
    <xf numFmtId="0" fontId="66" fillId="0" borderId="16" xfId="29" applyFont="1" applyBorder="1" applyAlignment="1">
      <alignment vertical="center"/>
    </xf>
    <xf numFmtId="1" fontId="67" fillId="0" borderId="40" xfId="28" applyNumberFormat="1" applyFont="1" applyFill="1" applyBorder="1" applyAlignment="1" applyProtection="1">
      <alignment horizontal="center" vertical="center"/>
    </xf>
    <xf numFmtId="165" fontId="38" fillId="0" borderId="40" xfId="28" applyNumberFormat="1" applyFont="1" applyFill="1" applyBorder="1" applyAlignment="1" applyProtection="1">
      <alignment horizontal="right" vertical="center"/>
    </xf>
    <xf numFmtId="165" fontId="66" fillId="11" borderId="41" xfId="28" applyNumberFormat="1" applyFont="1" applyFill="1" applyBorder="1" applyAlignment="1" applyProtection="1">
      <alignment vertical="center"/>
      <protection locked="0"/>
    </xf>
    <xf numFmtId="0" fontId="66" fillId="0" borderId="42" xfId="29" applyFont="1" applyBorder="1" applyAlignment="1">
      <alignment vertical="center"/>
    </xf>
    <xf numFmtId="0" fontId="66" fillId="0" borderId="43" xfId="29" applyFont="1" applyBorder="1" applyAlignment="1">
      <alignment horizontal="center" vertical="center"/>
    </xf>
    <xf numFmtId="0" fontId="66" fillId="0" borderId="43" xfId="29" applyFont="1" applyBorder="1" applyAlignment="1">
      <alignment vertical="center"/>
    </xf>
    <xf numFmtId="1" fontId="67" fillId="0" borderId="44" xfId="28" applyNumberFormat="1" applyFont="1" applyFill="1" applyBorder="1" applyAlignment="1" applyProtection="1">
      <alignment horizontal="center" vertical="center"/>
    </xf>
    <xf numFmtId="165" fontId="38" fillId="0" borderId="44" xfId="28" applyNumberFormat="1" applyFont="1" applyFill="1" applyBorder="1" applyAlignment="1" applyProtection="1">
      <alignment horizontal="right" vertical="center"/>
    </xf>
    <xf numFmtId="38" fontId="66" fillId="11" borderId="45" xfId="28" applyNumberFormat="1" applyFont="1" applyFill="1" applyBorder="1" applyAlignment="1" applyProtection="1">
      <alignment vertical="center"/>
      <protection locked="0"/>
    </xf>
    <xf numFmtId="0" fontId="24" fillId="29" borderId="12" xfId="0" applyFont="1" applyFill="1" applyBorder="1" applyAlignment="1">
      <alignment horizontal="left"/>
    </xf>
    <xf numFmtId="0" fontId="24" fillId="0" borderId="12" xfId="29" applyFont="1" applyBorder="1" applyAlignment="1">
      <alignment vertical="center"/>
    </xf>
    <xf numFmtId="165" fontId="66" fillId="11" borderId="10" xfId="28" applyNumberFormat="1" applyFont="1" applyFill="1" applyBorder="1" applyAlignment="1" applyProtection="1">
      <alignment vertical="center"/>
      <protection locked="0"/>
    </xf>
    <xf numFmtId="0" fontId="24" fillId="0" borderId="43" xfId="29" applyFont="1" applyBorder="1" applyAlignment="1">
      <alignment vertical="center"/>
    </xf>
    <xf numFmtId="0" fontId="66" fillId="0" borderId="16" xfId="29" applyFont="1" applyBorder="1" applyAlignment="1">
      <alignment vertical="center" wrapText="1"/>
    </xf>
    <xf numFmtId="0" fontId="66" fillId="0" borderId="16" xfId="29" applyFont="1" applyBorder="1" applyAlignment="1">
      <alignment horizontal="left" vertical="center" wrapText="1"/>
    </xf>
    <xf numFmtId="0" fontId="67" fillId="16" borderId="18" xfId="29" applyFont="1" applyFill="1" applyBorder="1" applyAlignment="1">
      <alignment horizontal="center" vertical="center"/>
    </xf>
    <xf numFmtId="0" fontId="67" fillId="16" borderId="12" xfId="29" applyFont="1" applyFill="1" applyBorder="1" applyAlignment="1">
      <alignment horizontal="left" vertical="center"/>
    </xf>
    <xf numFmtId="0" fontId="67" fillId="16" borderId="12" xfId="29" applyFont="1" applyFill="1" applyBorder="1" applyAlignment="1">
      <alignment horizontal="center" vertical="center"/>
    </xf>
    <xf numFmtId="1" fontId="67" fillId="16" borderId="4" xfId="28" applyNumberFormat="1" applyFont="1" applyFill="1" applyBorder="1" applyAlignment="1" applyProtection="1">
      <alignment horizontal="center" vertical="center"/>
    </xf>
    <xf numFmtId="165" fontId="38" fillId="16" borderId="4" xfId="28" applyNumberFormat="1" applyFont="1" applyFill="1" applyBorder="1" applyAlignment="1" applyProtection="1">
      <alignment horizontal="right" vertical="center"/>
    </xf>
    <xf numFmtId="165" fontId="67" fillId="16" borderId="10" xfId="28" applyNumberFormat="1" applyFont="1" applyFill="1" applyBorder="1" applyAlignment="1" applyProtection="1">
      <alignment horizontal="center" vertical="center"/>
    </xf>
    <xf numFmtId="0" fontId="66" fillId="16" borderId="18" xfId="29" applyFont="1" applyFill="1" applyBorder="1" applyAlignment="1">
      <alignment vertical="center"/>
    </xf>
    <xf numFmtId="0" fontId="66" fillId="16" borderId="12" xfId="29" quotePrefix="1" applyFont="1" applyFill="1" applyBorder="1" applyAlignment="1">
      <alignment horizontal="center" vertical="center"/>
    </xf>
    <xf numFmtId="0" fontId="66" fillId="16" borderId="12" xfId="29" applyFont="1" applyFill="1" applyBorder="1" applyAlignment="1">
      <alignment vertical="center"/>
    </xf>
    <xf numFmtId="165" fontId="66" fillId="16" borderId="10" xfId="28" applyNumberFormat="1" applyFont="1" applyFill="1" applyBorder="1" applyAlignment="1" applyProtection="1">
      <alignment vertical="center"/>
    </xf>
    <xf numFmtId="165" fontId="71" fillId="16" borderId="10" xfId="28" applyNumberFormat="1" applyFont="1" applyFill="1" applyBorder="1" applyAlignment="1" applyProtection="1">
      <alignment vertical="center"/>
    </xf>
    <xf numFmtId="0" fontId="66" fillId="11" borderId="12" xfId="29" applyFont="1" applyFill="1" applyBorder="1" applyAlignment="1">
      <alignment vertical="center"/>
    </xf>
    <xf numFmtId="165" fontId="24" fillId="11" borderId="10" xfId="28" applyNumberFormat="1" applyFont="1" applyFill="1" applyBorder="1" applyAlignment="1" applyProtection="1">
      <alignment vertical="center"/>
      <protection locked="0"/>
    </xf>
    <xf numFmtId="41" fontId="24" fillId="11" borderId="10" xfId="28" applyNumberFormat="1" applyFont="1" applyFill="1" applyBorder="1" applyAlignment="1" applyProtection="1">
      <alignment vertical="center"/>
      <protection locked="0"/>
    </xf>
    <xf numFmtId="165" fontId="24" fillId="0" borderId="10" xfId="28" applyNumberFormat="1" applyFont="1" applyBorder="1" applyAlignment="1" applyProtection="1">
      <alignment vertical="center"/>
    </xf>
    <xf numFmtId="0" fontId="66" fillId="30" borderId="12" xfId="29" applyFont="1" applyFill="1" applyBorder="1" applyAlignment="1">
      <alignment vertical="center"/>
    </xf>
    <xf numFmtId="41" fontId="66" fillId="11" borderId="10" xfId="28" applyNumberFormat="1" applyFont="1" applyFill="1" applyBorder="1" applyAlignment="1" applyProtection="1">
      <alignment vertical="center"/>
      <protection locked="0"/>
    </xf>
    <xf numFmtId="0" fontId="66" fillId="31" borderId="12" xfId="29" applyFont="1" applyFill="1" applyBorder="1" applyAlignment="1">
      <alignment vertical="center"/>
    </xf>
    <xf numFmtId="165" fontId="24" fillId="16" borderId="10" xfId="28" applyNumberFormat="1" applyFont="1" applyFill="1" applyBorder="1" applyAlignment="1" applyProtection="1">
      <alignment vertical="center"/>
    </xf>
    <xf numFmtId="165" fontId="24" fillId="11" borderId="48" xfId="28" applyNumberFormat="1" applyFont="1" applyFill="1" applyBorder="1" applyAlignment="1" applyProtection="1">
      <alignment vertical="center"/>
      <protection locked="0"/>
    </xf>
    <xf numFmtId="165" fontId="66" fillId="11" borderId="48" xfId="28" applyNumberFormat="1" applyFont="1" applyFill="1" applyBorder="1" applyAlignment="1" applyProtection="1">
      <alignment vertical="center"/>
      <protection locked="0"/>
    </xf>
    <xf numFmtId="165" fontId="24" fillId="16" borderId="48" xfId="28" applyNumberFormat="1" applyFont="1" applyFill="1" applyBorder="1" applyAlignment="1" applyProtection="1">
      <alignment vertical="center"/>
    </xf>
    <xf numFmtId="165" fontId="66" fillId="16" borderId="48" xfId="28" applyNumberFormat="1" applyFont="1" applyFill="1" applyBorder="1" applyAlignment="1" applyProtection="1">
      <alignment vertical="center"/>
    </xf>
    <xf numFmtId="0" fontId="76" fillId="32" borderId="12" xfId="29" applyFont="1" applyFill="1" applyBorder="1" applyAlignment="1">
      <alignment vertical="center"/>
    </xf>
    <xf numFmtId="0" fontId="66" fillId="16" borderId="42" xfId="29" applyFont="1" applyFill="1" applyBorder="1" applyAlignment="1">
      <alignment vertical="center"/>
    </xf>
    <xf numFmtId="0" fontId="66" fillId="16" borderId="43" xfId="29" quotePrefix="1" applyFont="1" applyFill="1" applyBorder="1" applyAlignment="1">
      <alignment horizontal="center" vertical="center"/>
    </xf>
    <xf numFmtId="0" fontId="66" fillId="16" borderId="43" xfId="29" applyFont="1" applyFill="1" applyBorder="1" applyAlignment="1">
      <alignment vertical="center"/>
    </xf>
    <xf numFmtId="1" fontId="67" fillId="16" borderId="44" xfId="28" applyNumberFormat="1" applyFont="1" applyFill="1" applyBorder="1" applyAlignment="1" applyProtection="1">
      <alignment horizontal="center" vertical="center"/>
    </xf>
    <xf numFmtId="165" fontId="38" fillId="16" borderId="44" xfId="28" applyNumberFormat="1" applyFont="1" applyFill="1" applyBorder="1" applyAlignment="1" applyProtection="1">
      <alignment horizontal="right" vertical="center"/>
    </xf>
    <xf numFmtId="165" fontId="66" fillId="11" borderId="45" xfId="28" applyNumberFormat="1" applyFont="1" applyFill="1" applyBorder="1" applyAlignment="1" applyProtection="1">
      <alignment vertical="center"/>
      <protection locked="0"/>
    </xf>
    <xf numFmtId="0" fontId="67" fillId="16" borderId="18" xfId="29" applyFont="1" applyFill="1" applyBorder="1" applyAlignment="1">
      <alignment horizontal="center"/>
    </xf>
    <xf numFmtId="0" fontId="67" fillId="16" borderId="12" xfId="29" applyFont="1" applyFill="1" applyBorder="1"/>
    <xf numFmtId="0" fontId="66" fillId="16" borderId="12" xfId="29" applyFont="1" applyFill="1" applyBorder="1"/>
    <xf numFmtId="1" fontId="67" fillId="16" borderId="4" xfId="29" applyNumberFormat="1" applyFont="1" applyFill="1" applyBorder="1" applyAlignment="1">
      <alignment horizontal="center" vertical="center"/>
    </xf>
    <xf numFmtId="165" fontId="67" fillId="16" borderId="4" xfId="28" applyNumberFormat="1" applyFont="1" applyFill="1" applyBorder="1" applyAlignment="1" applyProtection="1">
      <alignment vertical="center"/>
    </xf>
    <xf numFmtId="165" fontId="72" fillId="16" borderId="4" xfId="28" applyNumberFormat="1" applyFont="1" applyFill="1" applyBorder="1" applyAlignment="1" applyProtection="1">
      <alignment vertical="center"/>
    </xf>
    <xf numFmtId="0" fontId="66" fillId="16" borderId="18" xfId="29" applyFont="1" applyFill="1" applyBorder="1"/>
    <xf numFmtId="0" fontId="66" fillId="16" borderId="12" xfId="29" applyFont="1" applyFill="1" applyBorder="1" applyAlignment="1">
      <alignment horizontal="center"/>
    </xf>
    <xf numFmtId="165" fontId="24" fillId="16" borderId="4" xfId="28" applyNumberFormat="1" applyFont="1" applyFill="1" applyBorder="1" applyAlignment="1" applyProtection="1">
      <alignment horizontal="right" vertical="center"/>
    </xf>
    <xf numFmtId="165" fontId="66" fillId="16" borderId="4" xfId="28" applyNumberFormat="1" applyFont="1" applyFill="1" applyBorder="1" applyAlignment="1" applyProtection="1">
      <alignment vertical="center"/>
    </xf>
    <xf numFmtId="0" fontId="66" fillId="0" borderId="18" xfId="29" applyFont="1" applyBorder="1" applyAlignment="1">
      <alignment vertical="top"/>
    </xf>
    <xf numFmtId="0" fontId="66" fillId="0" borderId="12" xfId="29" applyFont="1" applyBorder="1" applyAlignment="1">
      <alignment horizontal="center" vertical="top"/>
    </xf>
    <xf numFmtId="0" fontId="66" fillId="0" borderId="12" xfId="29" applyFont="1" applyBorder="1" applyAlignment="1">
      <alignment vertical="top"/>
    </xf>
    <xf numFmtId="1" fontId="67" fillId="0" borderId="18" xfId="29" applyNumberFormat="1" applyFont="1" applyBorder="1" applyAlignment="1">
      <alignment horizontal="center" vertical="center" wrapText="1"/>
    </xf>
    <xf numFmtId="165" fontId="38" fillId="0" borderId="18" xfId="28" applyNumberFormat="1" applyFont="1" applyFill="1" applyBorder="1" applyAlignment="1" applyProtection="1">
      <alignment horizontal="right" vertical="center" wrapText="1"/>
    </xf>
    <xf numFmtId="165" fontId="66" fillId="11" borderId="18" xfId="28" applyNumberFormat="1" applyFont="1" applyFill="1" applyBorder="1" applyAlignment="1" applyProtection="1">
      <alignment vertical="center" wrapText="1"/>
      <protection locked="0"/>
    </xf>
    <xf numFmtId="165" fontId="66" fillId="11" borderId="4" xfId="28" applyNumberFormat="1" applyFont="1" applyFill="1" applyBorder="1" applyAlignment="1" applyProtection="1">
      <alignment vertical="center" wrapText="1"/>
      <protection locked="0"/>
    </xf>
    <xf numFmtId="165" fontId="66" fillId="0" borderId="4" xfId="28" applyNumberFormat="1" applyFont="1" applyFill="1" applyBorder="1" applyAlignment="1" applyProtection="1">
      <alignment vertical="center"/>
    </xf>
    <xf numFmtId="1" fontId="67" fillId="0" borderId="18" xfId="29" applyNumberFormat="1" applyFont="1" applyBorder="1" applyAlignment="1">
      <alignment horizontal="center" vertical="center"/>
    </xf>
    <xf numFmtId="165" fontId="38" fillId="0" borderId="18" xfId="28" applyNumberFormat="1" applyFont="1" applyFill="1" applyBorder="1" applyAlignment="1" applyProtection="1">
      <alignment horizontal="right" vertical="center"/>
    </xf>
    <xf numFmtId="165" fontId="66" fillId="11" borderId="4" xfId="28" applyNumberFormat="1" applyFont="1" applyFill="1" applyBorder="1" applyAlignment="1" applyProtection="1">
      <alignment vertical="center"/>
      <protection locked="0"/>
    </xf>
    <xf numFmtId="0" fontId="66" fillId="16" borderId="18" xfId="29" applyFont="1" applyFill="1" applyBorder="1" applyAlignment="1">
      <alignment vertical="top"/>
    </xf>
    <xf numFmtId="0" fontId="66" fillId="16" borderId="12" xfId="29" quotePrefix="1" applyFont="1" applyFill="1" applyBorder="1" applyAlignment="1">
      <alignment horizontal="center" vertical="top"/>
    </xf>
    <xf numFmtId="0" fontId="66" fillId="16" borderId="12" xfId="29" applyFont="1" applyFill="1" applyBorder="1" applyAlignment="1">
      <alignment vertical="top"/>
    </xf>
    <xf numFmtId="1" fontId="67" fillId="16" borderId="18" xfId="29" applyNumberFormat="1" applyFont="1" applyFill="1" applyBorder="1" applyAlignment="1">
      <alignment horizontal="center" vertical="center" wrapText="1"/>
    </xf>
    <xf numFmtId="165" fontId="38" fillId="16" borderId="18" xfId="28" applyNumberFormat="1" applyFont="1" applyFill="1" applyBorder="1" applyAlignment="1" applyProtection="1">
      <alignment horizontal="right" vertical="center" wrapText="1"/>
    </xf>
    <xf numFmtId="1" fontId="67" fillId="0" borderId="12" xfId="29" applyNumberFormat="1" applyFont="1" applyBorder="1" applyAlignment="1">
      <alignment horizontal="center" vertical="center"/>
    </xf>
    <xf numFmtId="165" fontId="24" fillId="0" borderId="12" xfId="28" applyNumberFormat="1" applyFont="1" applyFill="1" applyBorder="1" applyAlignment="1" applyProtection="1">
      <alignment horizontal="right" vertical="center"/>
    </xf>
    <xf numFmtId="165" fontId="66" fillId="0" borderId="12" xfId="28" applyNumberFormat="1" applyFont="1" applyBorder="1" applyAlignment="1" applyProtection="1">
      <alignment vertical="center"/>
    </xf>
    <xf numFmtId="0" fontId="67" fillId="16" borderId="18" xfId="29" applyFont="1" applyFill="1" applyBorder="1" applyAlignment="1">
      <alignment horizontal="center" vertical="top"/>
    </xf>
    <xf numFmtId="0" fontId="67" fillId="16" borderId="12" xfId="29" applyFont="1" applyFill="1" applyBorder="1" applyAlignment="1">
      <alignment vertical="top"/>
    </xf>
    <xf numFmtId="165" fontId="71" fillId="0" borderId="4" xfId="28" applyNumberFormat="1" applyFont="1" applyFill="1" applyBorder="1" applyAlignment="1" applyProtection="1">
      <alignment vertical="center"/>
    </xf>
    <xf numFmtId="0" fontId="67" fillId="0" borderId="43" xfId="29" applyFont="1" applyBorder="1" applyAlignment="1">
      <alignment horizontal="left"/>
    </xf>
    <xf numFmtId="0" fontId="66" fillId="0" borderId="43" xfId="29" applyFont="1" applyBorder="1"/>
    <xf numFmtId="1" fontId="67" fillId="0" borderId="43" xfId="29" applyNumberFormat="1" applyFont="1" applyBorder="1" applyAlignment="1">
      <alignment horizontal="center" vertical="center"/>
    </xf>
    <xf numFmtId="165" fontId="38" fillId="0" borderId="43" xfId="28" applyNumberFormat="1" applyFont="1" applyFill="1" applyBorder="1" applyAlignment="1" applyProtection="1">
      <alignment horizontal="right" vertical="center"/>
    </xf>
    <xf numFmtId="165" fontId="66" fillId="0" borderId="43" xfId="28" applyNumberFormat="1" applyFont="1" applyFill="1" applyBorder="1" applyAlignment="1" applyProtection="1">
      <alignment vertical="center"/>
    </xf>
    <xf numFmtId="0" fontId="67" fillId="11" borderId="2" xfId="29" applyFont="1" applyFill="1" applyBorder="1" applyAlignment="1">
      <alignment horizontal="left"/>
    </xf>
    <xf numFmtId="165" fontId="67" fillId="11" borderId="2" xfId="28" applyNumberFormat="1" applyFont="1" applyFill="1" applyBorder="1" applyAlignment="1" applyProtection="1">
      <alignment vertical="center"/>
    </xf>
    <xf numFmtId="2" fontId="66" fillId="11" borderId="31" xfId="1" applyNumberFormat="1" applyFont="1" applyFill="1" applyBorder="1" applyAlignment="1" applyProtection="1">
      <alignment vertical="center"/>
      <protection locked="0"/>
    </xf>
    <xf numFmtId="165" fontId="67" fillId="16" borderId="48" xfId="1" applyNumberFormat="1" applyFont="1" applyFill="1" applyBorder="1" applyAlignment="1">
      <alignment horizontal="center" vertical="center"/>
    </xf>
    <xf numFmtId="165" fontId="66" fillId="16" borderId="48" xfId="1" applyNumberFormat="1" applyFont="1" applyFill="1" applyBorder="1" applyAlignment="1">
      <alignment vertical="center"/>
    </xf>
    <xf numFmtId="43" fontId="9" fillId="28" borderId="13" xfId="4" applyFont="1" applyFill="1" applyBorder="1" applyAlignment="1" applyProtection="1">
      <alignment horizontal="right" vertical="center"/>
    </xf>
    <xf numFmtId="43" fontId="9" fillId="28" borderId="4" xfId="4" applyFont="1" applyFill="1" applyBorder="1" applyAlignment="1" applyProtection="1">
      <alignment horizontal="center" vertical="center"/>
    </xf>
    <xf numFmtId="43" fontId="9" fillId="28" borderId="16" xfId="4" applyFont="1" applyFill="1" applyBorder="1" applyAlignment="1" applyProtection="1">
      <alignment horizontal="center" vertical="center"/>
    </xf>
    <xf numFmtId="43" fontId="9" fillId="28" borderId="13" xfId="4" applyFont="1" applyFill="1" applyBorder="1" applyAlignment="1" applyProtection="1">
      <alignment horizontal="center" vertical="center"/>
    </xf>
    <xf numFmtId="43" fontId="9" fillId="28" borderId="48" xfId="4" applyFont="1" applyFill="1" applyBorder="1" applyAlignment="1" applyProtection="1">
      <alignment horizontal="center" vertical="center"/>
    </xf>
    <xf numFmtId="43" fontId="9" fillId="5" borderId="13" xfId="4" applyFont="1" applyFill="1" applyBorder="1" applyAlignment="1" applyProtection="1">
      <alignment horizontal="right" vertical="center"/>
    </xf>
    <xf numFmtId="43" fontId="66" fillId="12" borderId="4" xfId="4" applyFont="1" applyFill="1" applyBorder="1" applyAlignment="1" applyProtection="1">
      <alignment vertical="center"/>
      <protection locked="0"/>
    </xf>
    <xf numFmtId="43" fontId="9" fillId="5" borderId="4" xfId="4" applyFont="1" applyFill="1" applyBorder="1" applyAlignment="1" applyProtection="1">
      <alignment horizontal="right" vertical="center"/>
    </xf>
    <xf numFmtId="43" fontId="66" fillId="13" borderId="13" xfId="4" applyFont="1" applyFill="1" applyBorder="1" applyAlignment="1" applyProtection="1">
      <alignment vertical="center"/>
      <protection locked="0"/>
    </xf>
    <xf numFmtId="43" fontId="66" fillId="13" borderId="4" xfId="4" applyFont="1" applyFill="1" applyBorder="1" applyAlignment="1" applyProtection="1">
      <alignment vertical="center"/>
      <protection locked="0"/>
    </xf>
    <xf numFmtId="43" fontId="4" fillId="13" borderId="13" xfId="4" applyFont="1" applyFill="1" applyBorder="1" applyAlignment="1" applyProtection="1">
      <alignment vertical="center"/>
      <protection locked="0"/>
    </xf>
    <xf numFmtId="43" fontId="4" fillId="13" borderId="28" xfId="4" applyFont="1" applyFill="1" applyBorder="1" applyAlignment="1" applyProtection="1">
      <alignment vertical="center"/>
      <protection locked="0"/>
    </xf>
    <xf numFmtId="43" fontId="4" fillId="13" borderId="4" xfId="4" applyFont="1" applyFill="1" applyBorder="1" applyAlignment="1" applyProtection="1">
      <alignment vertical="center"/>
      <protection locked="0"/>
    </xf>
    <xf numFmtId="43" fontId="9" fillId="0" borderId="4" xfId="4" applyFont="1" applyFill="1" applyBorder="1" applyAlignment="1" applyProtection="1">
      <alignment horizontal="right" vertical="center"/>
    </xf>
    <xf numFmtId="43" fontId="4" fillId="0" borderId="4" xfId="4" applyFont="1" applyFill="1" applyBorder="1" applyAlignment="1" applyProtection="1">
      <alignment vertical="center"/>
      <protection locked="0"/>
    </xf>
    <xf numFmtId="43" fontId="38" fillId="5" borderId="19" xfId="4" applyFont="1" applyFill="1" applyBorder="1" applyAlignment="1" applyProtection="1">
      <alignment horizontal="right" vertical="center"/>
    </xf>
    <xf numFmtId="43" fontId="4" fillId="12" borderId="4" xfId="4" applyFont="1" applyFill="1" applyBorder="1" applyAlignment="1" applyProtection="1">
      <alignment vertical="center"/>
    </xf>
    <xf numFmtId="43" fontId="38" fillId="0" borderId="4" xfId="4" applyFont="1" applyFill="1" applyBorder="1" applyAlignment="1" applyProtection="1">
      <alignment horizontal="right" vertical="center"/>
    </xf>
    <xf numFmtId="43" fontId="4" fillId="12" borderId="10" xfId="4" applyFont="1" applyFill="1" applyBorder="1" applyAlignment="1" applyProtection="1">
      <alignment vertical="center"/>
    </xf>
    <xf numFmtId="43" fontId="67" fillId="0" borderId="40" xfId="4" applyFont="1" applyFill="1" applyBorder="1" applyAlignment="1" applyProtection="1">
      <alignment horizontal="right" vertical="center"/>
    </xf>
    <xf numFmtId="43" fontId="4" fillId="13" borderId="41" xfId="4" applyFont="1" applyFill="1" applyBorder="1" applyAlignment="1" applyProtection="1">
      <alignment vertical="center"/>
      <protection locked="0"/>
    </xf>
    <xf numFmtId="43" fontId="4" fillId="13" borderId="50" xfId="4" applyFont="1" applyFill="1" applyBorder="1" applyAlignment="1" applyProtection="1">
      <alignment vertical="center"/>
      <protection locked="0"/>
    </xf>
    <xf numFmtId="43" fontId="4" fillId="13" borderId="40" xfId="4" applyFont="1" applyFill="1" applyBorder="1" applyAlignment="1" applyProtection="1">
      <alignment vertical="center"/>
      <protection locked="0"/>
    </xf>
    <xf numFmtId="43" fontId="67" fillId="0" borderId="25" xfId="4" applyFont="1" applyFill="1" applyBorder="1" applyAlignment="1" applyProtection="1">
      <alignment horizontal="right" vertical="center"/>
    </xf>
    <xf numFmtId="43" fontId="4" fillId="12" borderId="31" xfId="4" applyFont="1" applyFill="1" applyBorder="1" applyAlignment="1" applyProtection="1">
      <alignment vertical="center"/>
      <protection locked="0"/>
    </xf>
    <xf numFmtId="43" fontId="4" fillId="12" borderId="36" xfId="4" applyFont="1" applyFill="1" applyBorder="1" applyAlignment="1" applyProtection="1">
      <alignment vertical="center"/>
      <protection locked="0"/>
    </xf>
    <xf numFmtId="43" fontId="4" fillId="13" borderId="31" xfId="4" applyFont="1" applyFill="1" applyBorder="1" applyAlignment="1" applyProtection="1">
      <alignment vertical="center"/>
      <protection locked="0"/>
    </xf>
    <xf numFmtId="43" fontId="4" fillId="13" borderId="36" xfId="4" applyFont="1" applyFill="1" applyBorder="1" applyAlignment="1" applyProtection="1">
      <alignment vertical="center"/>
      <protection locked="0"/>
    </xf>
    <xf numFmtId="43" fontId="4" fillId="13" borderId="25" xfId="4" applyFont="1" applyFill="1" applyBorder="1" applyAlignment="1" applyProtection="1">
      <alignment vertical="center"/>
      <protection locked="0"/>
    </xf>
    <xf numFmtId="43" fontId="67" fillId="0" borderId="26" xfId="4" applyFont="1" applyFill="1" applyBorder="1" applyAlignment="1" applyProtection="1">
      <alignment horizontal="right" vertical="center"/>
    </xf>
    <xf numFmtId="43" fontId="4" fillId="13" borderId="32" xfId="4" applyFont="1" applyFill="1" applyBorder="1" applyAlignment="1" applyProtection="1">
      <alignment vertical="center"/>
      <protection locked="0"/>
    </xf>
    <xf numFmtId="43" fontId="4" fillId="13" borderId="37" xfId="4" applyFont="1" applyFill="1" applyBorder="1" applyAlignment="1" applyProtection="1">
      <alignment vertical="center"/>
      <protection locked="0"/>
    </xf>
    <xf numFmtId="43" fontId="4" fillId="13" borderId="26" xfId="4" applyFont="1" applyFill="1" applyBorder="1" applyAlignment="1" applyProtection="1">
      <alignment vertical="center"/>
      <protection locked="0"/>
    </xf>
    <xf numFmtId="43" fontId="38" fillId="0" borderId="44" xfId="4" applyFont="1" applyFill="1" applyBorder="1" applyAlignment="1" applyProtection="1">
      <alignment horizontal="right" vertical="center"/>
    </xf>
    <xf numFmtId="43" fontId="4" fillId="0" borderId="45" xfId="4" applyFont="1" applyFill="1" applyBorder="1" applyAlignment="1" applyProtection="1">
      <alignment vertical="center"/>
      <protection locked="0"/>
    </xf>
    <xf numFmtId="43" fontId="4" fillId="0" borderId="43" xfId="4" applyFont="1" applyFill="1" applyBorder="1" applyAlignment="1" applyProtection="1">
      <alignment vertical="center"/>
      <protection locked="0"/>
    </xf>
    <xf numFmtId="43" fontId="4" fillId="0" borderId="44" xfId="4" applyFont="1" applyFill="1" applyBorder="1" applyAlignment="1" applyProtection="1">
      <alignment vertical="center"/>
      <protection locked="0"/>
    </xf>
    <xf numFmtId="43" fontId="4" fillId="0" borderId="4" xfId="4" applyFont="1" applyFill="1" applyBorder="1" applyAlignment="1" applyProtection="1">
      <alignment vertical="center"/>
    </xf>
    <xf numFmtId="43" fontId="38" fillId="5" borderId="11" xfId="4" applyFont="1" applyFill="1" applyBorder="1" applyAlignment="1" applyProtection="1">
      <alignment horizontal="right" vertical="center"/>
    </xf>
    <xf numFmtId="43" fontId="4" fillId="5" borderId="24" xfId="4" applyFont="1" applyFill="1" applyBorder="1" applyAlignment="1" applyProtection="1">
      <alignment vertical="center"/>
    </xf>
    <xf numFmtId="43" fontId="4" fillId="5" borderId="11" xfId="4" applyFont="1" applyFill="1" applyBorder="1" applyAlignment="1" applyProtection="1">
      <alignment vertical="center"/>
    </xf>
    <xf numFmtId="43" fontId="4" fillId="5" borderId="5" xfId="4" applyFont="1" applyFill="1" applyBorder="1" applyAlignment="1" applyProtection="1">
      <alignment vertical="center"/>
    </xf>
    <xf numFmtId="43" fontId="4" fillId="22" borderId="24" xfId="4" applyFont="1" applyFill="1" applyBorder="1" applyAlignment="1" applyProtection="1">
      <alignment vertical="center"/>
    </xf>
    <xf numFmtId="43" fontId="24" fillId="0" borderId="10" xfId="4" applyFont="1" applyFill="1" applyBorder="1" applyAlignment="1" applyProtection="1">
      <alignment vertical="center"/>
      <protection locked="0"/>
    </xf>
    <xf numFmtId="43" fontId="24" fillId="0" borderId="4" xfId="4" applyFont="1" applyFill="1" applyBorder="1" applyAlignment="1" applyProtection="1">
      <alignment vertical="center"/>
      <protection locked="0"/>
    </xf>
    <xf numFmtId="43" fontId="9" fillId="13" borderId="4" xfId="4" applyFont="1" applyFill="1" applyBorder="1" applyAlignment="1" applyProtection="1">
      <alignment horizontal="right" vertical="center"/>
    </xf>
    <xf numFmtId="43" fontId="4" fillId="13" borderId="10" xfId="4" applyFont="1" applyFill="1" applyBorder="1" applyAlignment="1" applyProtection="1">
      <alignment vertical="center"/>
      <protection locked="0"/>
    </xf>
    <xf numFmtId="43" fontId="4" fillId="13" borderId="8" xfId="4" applyFont="1" applyFill="1" applyBorder="1" applyAlignment="1" applyProtection="1">
      <alignment vertical="center"/>
      <protection locked="0"/>
    </xf>
    <xf numFmtId="43" fontId="9" fillId="5" borderId="11" xfId="4" applyFont="1" applyFill="1" applyBorder="1" applyAlignment="1" applyProtection="1">
      <alignment horizontal="right" vertical="center"/>
    </xf>
    <xf numFmtId="43" fontId="4" fillId="5" borderId="27" xfId="4" applyFont="1" applyFill="1" applyBorder="1" applyAlignment="1" applyProtection="1">
      <alignment vertical="center"/>
    </xf>
    <xf numFmtId="43" fontId="4" fillId="0" borderId="10" xfId="4" applyFont="1" applyFill="1" applyBorder="1" applyAlignment="1" applyProtection="1">
      <alignment vertical="center"/>
      <protection locked="0"/>
    </xf>
    <xf numFmtId="43" fontId="4" fillId="0" borderId="13" xfId="4" applyFont="1" applyFill="1" applyBorder="1" applyAlignment="1" applyProtection="1">
      <alignment vertical="center"/>
      <protection locked="0"/>
    </xf>
    <xf numFmtId="43" fontId="9" fillId="13" borderId="44" xfId="4" applyFont="1" applyFill="1" applyBorder="1" applyAlignment="1" applyProtection="1">
      <alignment horizontal="right" vertical="center"/>
    </xf>
    <xf numFmtId="43" fontId="4" fillId="13" borderId="48" xfId="4" applyFont="1" applyFill="1" applyBorder="1" applyAlignment="1" applyProtection="1">
      <alignment vertical="center"/>
      <protection locked="0"/>
    </xf>
    <xf numFmtId="43" fontId="4" fillId="13" borderId="44" xfId="4" applyFont="1" applyFill="1" applyBorder="1" applyAlignment="1" applyProtection="1">
      <alignment vertical="center"/>
      <protection locked="0"/>
    </xf>
    <xf numFmtId="43" fontId="9" fillId="0" borderId="1" xfId="4" applyFont="1" applyFill="1" applyBorder="1" applyAlignment="1" applyProtection="1">
      <alignment horizontal="right" vertical="center"/>
    </xf>
    <xf numFmtId="43" fontId="4" fillId="0" borderId="42" xfId="4" applyFont="1" applyFill="1" applyBorder="1" applyAlignment="1">
      <alignment vertical="center"/>
    </xf>
    <xf numFmtId="43" fontId="4" fillId="0" borderId="30" xfId="4" applyFont="1" applyFill="1" applyBorder="1" applyAlignment="1" applyProtection="1">
      <alignment vertical="center"/>
      <protection locked="0"/>
    </xf>
    <xf numFmtId="43" fontId="9" fillId="19" borderId="11" xfId="4" applyFont="1" applyFill="1" applyBorder="1" applyAlignment="1" applyProtection="1">
      <alignment horizontal="right" vertical="center"/>
    </xf>
    <xf numFmtId="43" fontId="9" fillId="19" borderId="11" xfId="4" applyFont="1" applyFill="1" applyBorder="1" applyAlignment="1" applyProtection="1">
      <alignment horizontal="center" vertical="center"/>
    </xf>
    <xf numFmtId="43" fontId="9" fillId="19" borderId="24" xfId="4" applyFont="1" applyFill="1" applyBorder="1" applyAlignment="1" applyProtection="1">
      <alignment horizontal="center" vertical="center"/>
    </xf>
    <xf numFmtId="43" fontId="39" fillId="12" borderId="10" xfId="4" applyFont="1" applyFill="1" applyBorder="1" applyAlignment="1" applyProtection="1">
      <alignment vertical="center"/>
    </xf>
    <xf numFmtId="43" fontId="24" fillId="12" borderId="10" xfId="4" applyFont="1" applyFill="1" applyBorder="1" applyAlignment="1" applyProtection="1">
      <alignment vertical="center"/>
      <protection locked="0"/>
    </xf>
    <xf numFmtId="43" fontId="4" fillId="12" borderId="10" xfId="4" applyFont="1" applyFill="1" applyBorder="1" applyAlignment="1" applyProtection="1">
      <alignment vertical="center"/>
      <protection locked="0"/>
    </xf>
    <xf numFmtId="43" fontId="24" fillId="12" borderId="29" xfId="4" applyFont="1" applyFill="1" applyBorder="1" applyAlignment="1" applyProtection="1">
      <alignment vertical="center"/>
      <protection locked="0"/>
    </xf>
    <xf numFmtId="43" fontId="38" fillId="0" borderId="10" xfId="4" applyFont="1" applyFill="1" applyBorder="1" applyAlignment="1" applyProtection="1">
      <alignment horizontal="right" vertical="center"/>
    </xf>
    <xf numFmtId="43" fontId="24" fillId="13" borderId="44" xfId="4" applyFont="1" applyFill="1" applyBorder="1" applyAlignment="1" applyProtection="1">
      <alignment vertical="center"/>
      <protection locked="0"/>
    </xf>
    <xf numFmtId="43" fontId="24" fillId="13" borderId="10" xfId="4" applyFont="1" applyFill="1" applyBorder="1" applyAlignment="1" applyProtection="1">
      <alignment vertical="center"/>
      <protection locked="0"/>
    </xf>
    <xf numFmtId="43" fontId="24" fillId="0" borderId="48" xfId="4" applyFont="1" applyFill="1" applyBorder="1" applyAlignment="1" applyProtection="1">
      <alignment vertical="center"/>
      <protection locked="0"/>
    </xf>
    <xf numFmtId="43" fontId="4" fillId="13" borderId="11" xfId="4" applyFont="1" applyFill="1" applyBorder="1" applyAlignment="1" applyProtection="1">
      <alignment vertical="center"/>
      <protection locked="0"/>
    </xf>
    <xf numFmtId="43" fontId="4" fillId="13" borderId="4" xfId="4" applyFont="1" applyFill="1" applyBorder="1" applyAlignment="1" applyProtection="1">
      <alignment horizontal="center" vertical="center"/>
      <protection locked="0"/>
    </xf>
    <xf numFmtId="43" fontId="24" fillId="0" borderId="10" xfId="4" applyFont="1" applyFill="1" applyBorder="1" applyAlignment="1" applyProtection="1">
      <alignment vertical="center"/>
    </xf>
    <xf numFmtId="43" fontId="4" fillId="5" borderId="4" xfId="4" applyFont="1" applyFill="1" applyBorder="1" applyAlignment="1" applyProtection="1">
      <alignment vertical="center"/>
    </xf>
    <xf numFmtId="43" fontId="4" fillId="5" borderId="44" xfId="4" applyFont="1" applyFill="1" applyBorder="1" applyAlignment="1" applyProtection="1">
      <alignment vertical="center"/>
    </xf>
    <xf numFmtId="43" fontId="4" fillId="5" borderId="10" xfId="4" applyFont="1" applyFill="1" applyBorder="1" applyAlignment="1" applyProtection="1">
      <alignment vertical="center"/>
    </xf>
    <xf numFmtId="43" fontId="4" fillId="13" borderId="29" xfId="4" applyFont="1" applyFill="1" applyBorder="1" applyAlignment="1" applyProtection="1">
      <alignment vertical="center"/>
      <protection locked="0"/>
    </xf>
    <xf numFmtId="43" fontId="4" fillId="5" borderId="13" xfId="4" applyFont="1" applyFill="1" applyBorder="1" applyAlignment="1" applyProtection="1">
      <alignment vertical="center"/>
    </xf>
    <xf numFmtId="43" fontId="4" fillId="5" borderId="48" xfId="4" applyFont="1" applyFill="1" applyBorder="1" applyAlignment="1" applyProtection="1">
      <alignment vertical="center"/>
    </xf>
    <xf numFmtId="43" fontId="9" fillId="0" borderId="44" xfId="4" applyFont="1" applyFill="1" applyBorder="1" applyAlignment="1" applyProtection="1">
      <alignment horizontal="right" vertical="center"/>
    </xf>
    <xf numFmtId="43" fontId="24" fillId="0" borderId="45" xfId="4" applyFont="1" applyFill="1" applyBorder="1" applyAlignment="1" applyProtection="1">
      <alignment vertical="center"/>
      <protection locked="0"/>
    </xf>
    <xf numFmtId="43" fontId="4" fillId="0" borderId="7" xfId="4" applyFont="1" applyFill="1" applyBorder="1" applyAlignment="1" applyProtection="1">
      <alignment horizontal="right"/>
    </xf>
    <xf numFmtId="43" fontId="4" fillId="0" borderId="7" xfId="4" applyFont="1" applyFill="1" applyBorder="1" applyProtection="1"/>
    <xf numFmtId="43" fontId="4" fillId="0" borderId="0" xfId="4" applyFont="1" applyFill="1" applyBorder="1" applyProtection="1"/>
    <xf numFmtId="43" fontId="9" fillId="5" borderId="1" xfId="4" applyFont="1" applyFill="1" applyBorder="1" applyAlignment="1" applyProtection="1">
      <alignment horizontal="right" vertical="center"/>
    </xf>
    <xf numFmtId="43" fontId="9" fillId="5" borderId="1" xfId="4" applyFont="1" applyFill="1" applyBorder="1" applyAlignment="1" applyProtection="1">
      <alignment vertical="center"/>
    </xf>
    <xf numFmtId="43" fontId="4" fillId="0" borderId="7" xfId="4" applyFont="1" applyBorder="1" applyAlignment="1" applyProtection="1">
      <alignment horizontal="right" vertical="center"/>
    </xf>
    <xf numFmtId="43" fontId="4" fillId="0" borderId="7" xfId="4" applyFont="1" applyBorder="1" applyAlignment="1" applyProtection="1">
      <alignment vertical="center"/>
    </xf>
    <xf numFmtId="43" fontId="4" fillId="0" borderId="0" xfId="4" applyFont="1" applyBorder="1" applyAlignment="1" applyProtection="1">
      <alignment vertical="center"/>
    </xf>
    <xf numFmtId="43" fontId="4" fillId="0" borderId="28" xfId="4" applyFont="1" applyBorder="1" applyAlignment="1" applyProtection="1">
      <alignment vertical="center"/>
    </xf>
    <xf numFmtId="43" fontId="4" fillId="0" borderId="11" xfId="4" applyFont="1" applyFill="1" applyBorder="1" applyAlignment="1" applyProtection="1">
      <alignment horizontal="right" vertical="center"/>
    </xf>
    <xf numFmtId="43" fontId="4" fillId="0" borderId="11" xfId="4" applyFont="1" applyBorder="1" applyAlignment="1" applyProtection="1">
      <alignment vertical="center"/>
    </xf>
    <xf numFmtId="43" fontId="4" fillId="0" borderId="24" xfId="4" applyFont="1" applyBorder="1" applyAlignment="1" applyProtection="1">
      <alignment vertical="center"/>
    </xf>
    <xf numFmtId="43" fontId="4" fillId="0" borderId="17" xfId="4" applyFont="1" applyBorder="1" applyAlignment="1" applyProtection="1">
      <alignment vertical="center"/>
    </xf>
    <xf numFmtId="43" fontId="9" fillId="5" borderId="4" xfId="4" applyFont="1" applyFill="1" applyBorder="1" applyAlignment="1" applyProtection="1">
      <alignment vertical="center"/>
    </xf>
    <xf numFmtId="43" fontId="9" fillId="5" borderId="10" xfId="4" applyFont="1" applyFill="1" applyBorder="1" applyAlignment="1" applyProtection="1">
      <alignment vertical="center"/>
    </xf>
    <xf numFmtId="43" fontId="37" fillId="5" borderId="4" xfId="4" applyFont="1" applyFill="1" applyBorder="1" applyAlignment="1" applyProtection="1">
      <alignment vertical="center"/>
    </xf>
    <xf numFmtId="43" fontId="4" fillId="5" borderId="4" xfId="4" applyFont="1" applyFill="1" applyBorder="1" applyAlignment="1" applyProtection="1">
      <alignment horizontal="right" vertical="center"/>
    </xf>
    <xf numFmtId="43" fontId="9" fillId="0" borderId="4" xfId="4" applyFont="1" applyFill="1" applyBorder="1" applyAlignment="1" applyProtection="1">
      <alignment horizontal="right" vertical="center" wrapText="1"/>
    </xf>
    <xf numFmtId="43" fontId="4" fillId="0" borderId="4" xfId="4" applyFont="1" applyFill="1" applyBorder="1" applyAlignment="1" applyProtection="1">
      <alignment vertical="center" wrapText="1"/>
      <protection locked="0"/>
    </xf>
    <xf numFmtId="43" fontId="4" fillId="0" borderId="12" xfId="4" applyFont="1" applyFill="1" applyBorder="1" applyAlignment="1" applyProtection="1">
      <alignment vertical="center" wrapText="1"/>
      <protection locked="0"/>
    </xf>
    <xf numFmtId="43" fontId="4" fillId="0" borderId="18" xfId="4" applyFont="1" applyFill="1" applyBorder="1" applyAlignment="1" applyProtection="1">
      <alignment vertical="center" wrapText="1"/>
      <protection locked="0"/>
    </xf>
    <xf numFmtId="43" fontId="24" fillId="0" borderId="4" xfId="4" applyFont="1" applyFill="1" applyBorder="1" applyAlignment="1" applyProtection="1">
      <alignment horizontal="center" vertical="center"/>
    </xf>
    <xf numFmtId="43" fontId="4" fillId="0" borderId="10" xfId="4" applyFont="1" applyFill="1" applyBorder="1" applyAlignment="1" applyProtection="1">
      <alignment vertical="center"/>
    </xf>
    <xf numFmtId="43" fontId="24" fillId="0" borderId="4" xfId="4" applyFont="1" applyFill="1" applyBorder="1" applyAlignment="1" applyProtection="1">
      <alignment horizontal="center" vertical="center" wrapText="1"/>
      <protection locked="0"/>
    </xf>
    <xf numFmtId="43" fontId="4" fillId="12" borderId="12" xfId="4" applyFont="1" applyFill="1" applyBorder="1" applyAlignment="1" applyProtection="1">
      <alignment vertical="center" wrapText="1"/>
      <protection locked="0"/>
    </xf>
    <xf numFmtId="43" fontId="4" fillId="12" borderId="18" xfId="4" applyFont="1" applyFill="1" applyBorder="1" applyAlignment="1" applyProtection="1">
      <alignment vertical="center" wrapText="1"/>
      <protection locked="0"/>
    </xf>
    <xf numFmtId="43" fontId="4" fillId="12" borderId="4" xfId="4" applyFont="1" applyFill="1" applyBorder="1" applyAlignment="1" applyProtection="1">
      <alignment vertical="center" wrapText="1"/>
      <protection locked="0"/>
    </xf>
    <xf numFmtId="43" fontId="9" fillId="0" borderId="4" xfId="4" applyFont="1" applyFill="1" applyBorder="1" applyAlignment="1" applyProtection="1">
      <alignment vertical="center"/>
    </xf>
    <xf numFmtId="43" fontId="76" fillId="0" borderId="4" xfId="4" applyFont="1" applyFill="1" applyBorder="1" applyAlignment="1" applyProtection="1">
      <alignment horizontal="center" vertical="center"/>
      <protection locked="0"/>
    </xf>
    <xf numFmtId="43" fontId="4" fillId="12" borderId="4" xfId="4" applyFont="1" applyFill="1" applyBorder="1" applyAlignment="1" applyProtection="1">
      <alignment vertical="center"/>
      <protection locked="0"/>
    </xf>
    <xf numFmtId="43" fontId="9" fillId="5" borderId="4" xfId="4" applyFont="1" applyFill="1" applyBorder="1" applyAlignment="1" applyProtection="1">
      <alignment horizontal="right" vertical="center" wrapText="1"/>
    </xf>
    <xf numFmtId="43" fontId="4" fillId="0" borderId="0" xfId="4" applyFont="1" applyFill="1" applyBorder="1" applyAlignment="1" applyProtection="1">
      <alignment horizontal="right" vertical="center"/>
    </xf>
    <xf numFmtId="43" fontId="4" fillId="0" borderId="15" xfId="4" applyFont="1" applyBorder="1" applyAlignment="1" applyProtection="1">
      <alignment vertical="center"/>
    </xf>
    <xf numFmtId="43" fontId="4" fillId="0" borderId="12" xfId="4" applyFont="1" applyBorder="1" applyAlignment="1" applyProtection="1">
      <alignment vertical="center"/>
    </xf>
    <xf numFmtId="43" fontId="39" fillId="0" borderId="29" xfId="4" applyFont="1" applyBorder="1" applyAlignment="1" applyProtection="1">
      <alignment vertical="center"/>
    </xf>
    <xf numFmtId="43" fontId="39" fillId="0" borderId="19" xfId="4" applyFont="1" applyBorder="1" applyAlignment="1" applyProtection="1">
      <alignment vertical="center"/>
    </xf>
    <xf numFmtId="43" fontId="9" fillId="0" borderId="4" xfId="4" applyFont="1" applyFill="1" applyBorder="1" applyAlignment="1" applyProtection="1">
      <alignment horizontal="center" vertical="center" wrapText="1"/>
    </xf>
    <xf numFmtId="43" fontId="4" fillId="0" borderId="12" xfId="4" applyFont="1" applyFill="1" applyBorder="1" applyAlignment="1" applyProtection="1">
      <alignment horizontal="center" vertical="center" wrapText="1"/>
      <protection locked="0"/>
    </xf>
    <xf numFmtId="43" fontId="24" fillId="0" borderId="10" xfId="4" applyFont="1" applyFill="1" applyBorder="1" applyAlignment="1" applyProtection="1">
      <alignment horizontal="center" vertical="center"/>
    </xf>
    <xf numFmtId="43" fontId="39" fillId="0" borderId="4" xfId="4" applyFont="1" applyFill="1" applyBorder="1" applyAlignment="1" applyProtection="1">
      <alignment vertical="center"/>
    </xf>
    <xf numFmtId="43" fontId="24" fillId="0" borderId="49" xfId="4" applyFont="1" applyFill="1" applyBorder="1" applyAlignment="1" applyProtection="1">
      <alignment horizontal="center" vertical="center" wrapText="1"/>
      <protection locked="0"/>
    </xf>
    <xf numFmtId="43" fontId="76" fillId="0" borderId="10" xfId="4" applyFont="1" applyFill="1" applyBorder="1" applyAlignment="1" applyProtection="1">
      <alignment horizontal="center" vertical="center"/>
      <protection locked="0"/>
    </xf>
    <xf numFmtId="43" fontId="9" fillId="16" borderId="4" xfId="4" applyFont="1" applyFill="1" applyBorder="1" applyAlignment="1" applyProtection="1">
      <alignment horizontal="right" vertical="center"/>
    </xf>
    <xf numFmtId="43" fontId="4" fillId="12" borderId="44" xfId="4" applyFont="1" applyFill="1" applyBorder="1" applyAlignment="1" applyProtection="1">
      <alignment vertical="center"/>
      <protection locked="0"/>
    </xf>
    <xf numFmtId="43" fontId="9" fillId="0" borderId="14" xfId="4" applyFont="1" applyFill="1" applyBorder="1" applyAlignment="1" applyProtection="1">
      <alignment horizontal="right" vertical="center"/>
    </xf>
    <xf numFmtId="43" fontId="4" fillId="0" borderId="43" xfId="4" applyFont="1" applyFill="1" applyBorder="1" applyAlignment="1" applyProtection="1">
      <alignment vertical="center"/>
    </xf>
    <xf numFmtId="43" fontId="39" fillId="0" borderId="0" xfId="4" applyFont="1" applyFill="1" applyBorder="1" applyAlignment="1" applyProtection="1">
      <alignment vertical="center"/>
    </xf>
    <xf numFmtId="43" fontId="9" fillId="5" borderId="7" xfId="4" applyFont="1" applyFill="1" applyBorder="1" applyAlignment="1" applyProtection="1">
      <alignment vertical="center"/>
    </xf>
    <xf numFmtId="43" fontId="37" fillId="5" borderId="7" xfId="4" applyFont="1" applyFill="1" applyBorder="1" applyAlignment="1" applyProtection="1">
      <alignment vertical="center"/>
    </xf>
    <xf numFmtId="43" fontId="37" fillId="5" borderId="30" xfId="4" applyFont="1" applyFill="1" applyBorder="1" applyAlignment="1" applyProtection="1">
      <alignment vertical="center"/>
    </xf>
    <xf numFmtId="43" fontId="9" fillId="0" borderId="7" xfId="4" applyFont="1" applyBorder="1" applyAlignment="1" applyProtection="1">
      <alignment horizontal="right" vertical="center"/>
    </xf>
    <xf numFmtId="43" fontId="39" fillId="0" borderId="0" xfId="4" applyFont="1" applyBorder="1" applyAlignment="1" applyProtection="1">
      <alignment vertical="center"/>
    </xf>
    <xf numFmtId="43" fontId="37" fillId="5" borderId="1" xfId="4" applyFont="1" applyFill="1" applyBorder="1" applyAlignment="1" applyProtection="1">
      <alignment vertical="center"/>
    </xf>
    <xf numFmtId="43" fontId="9" fillId="0" borderId="7" xfId="4" applyFont="1" applyFill="1" applyBorder="1" applyAlignment="1" applyProtection="1">
      <alignment horizontal="right" vertical="center"/>
    </xf>
    <xf numFmtId="43" fontId="4" fillId="0" borderId="7" xfId="4" applyFont="1" applyFill="1" applyBorder="1" applyAlignment="1" applyProtection="1">
      <alignment vertical="center"/>
    </xf>
    <xf numFmtId="43" fontId="39" fillId="0" borderId="7" xfId="4" applyFont="1" applyFill="1" applyBorder="1" applyAlignment="1" applyProtection="1">
      <alignment vertical="center"/>
    </xf>
    <xf numFmtId="43" fontId="38" fillId="5" borderId="1" xfId="4" applyFont="1" applyFill="1" applyBorder="1" applyAlignment="1" applyProtection="1">
      <alignment vertical="center"/>
    </xf>
    <xf numFmtId="43" fontId="24" fillId="11" borderId="10" xfId="28" applyFont="1" applyFill="1" applyBorder="1" applyAlignment="1" applyProtection="1">
      <alignment vertical="center"/>
      <protection locked="0"/>
    </xf>
    <xf numFmtId="43" fontId="66" fillId="11" borderId="10" xfId="28" applyFont="1" applyFill="1" applyBorder="1" applyAlignment="1" applyProtection="1">
      <alignment vertical="center"/>
      <protection locked="0"/>
    </xf>
    <xf numFmtId="43" fontId="67" fillId="19" borderId="0" xfId="5" applyFont="1" applyFill="1" applyBorder="1" applyProtection="1"/>
    <xf numFmtId="43" fontId="38" fillId="19" borderId="0" xfId="5" applyFont="1" applyFill="1" applyBorder="1" applyProtection="1"/>
    <xf numFmtId="0" fontId="67" fillId="16" borderId="16" xfId="0" applyFont="1" applyFill="1" applyBorder="1" applyAlignment="1">
      <alignment horizontal="left" vertical="center"/>
    </xf>
    <xf numFmtId="0" fontId="67" fillId="16" borderId="16" xfId="0" applyFont="1" applyFill="1" applyBorder="1" applyAlignment="1">
      <alignment horizontal="center" vertical="center"/>
    </xf>
    <xf numFmtId="1" fontId="67" fillId="16" borderId="13" xfId="0" applyNumberFormat="1" applyFont="1" applyFill="1" applyBorder="1" applyAlignment="1">
      <alignment horizontal="center" vertical="center"/>
    </xf>
    <xf numFmtId="165" fontId="67" fillId="16" borderId="13" xfId="1" applyNumberFormat="1" applyFont="1" applyFill="1" applyBorder="1" applyAlignment="1" applyProtection="1">
      <alignment horizontal="right" vertical="center"/>
    </xf>
    <xf numFmtId="165" fontId="67" fillId="16" borderId="48" xfId="1" applyNumberFormat="1" applyFont="1" applyFill="1" applyBorder="1" applyAlignment="1" applyProtection="1">
      <alignment horizontal="center" vertical="center"/>
    </xf>
    <xf numFmtId="0" fontId="66" fillId="0" borderId="18" xfId="0" applyFont="1" applyBorder="1" applyAlignment="1">
      <alignment vertical="center"/>
    </xf>
    <xf numFmtId="0" fontId="66" fillId="0" borderId="12" xfId="0" applyFont="1" applyBorder="1" applyAlignment="1">
      <alignment horizontal="center" vertical="center"/>
    </xf>
    <xf numFmtId="0" fontId="66" fillId="0" borderId="12" xfId="0" applyFont="1" applyBorder="1" applyAlignment="1">
      <alignment vertical="center"/>
    </xf>
    <xf numFmtId="165" fontId="66" fillId="0" borderId="10" xfId="1" applyNumberFormat="1" applyFont="1" applyBorder="1" applyAlignment="1" applyProtection="1">
      <alignment vertical="center"/>
    </xf>
    <xf numFmtId="0" fontId="66" fillId="0" borderId="38" xfId="0" applyFont="1" applyBorder="1" applyAlignment="1">
      <alignment vertical="center"/>
    </xf>
    <xf numFmtId="0" fontId="66" fillId="0" borderId="16" xfId="0" applyFont="1" applyBorder="1" applyAlignment="1">
      <alignment horizontal="center" vertical="center"/>
    </xf>
    <xf numFmtId="0" fontId="66" fillId="0" borderId="16" xfId="0" applyFont="1" applyBorder="1" applyAlignment="1">
      <alignment vertical="center"/>
    </xf>
    <xf numFmtId="165" fontId="66" fillId="11" borderId="10" xfId="1" applyNumberFormat="1" applyFont="1" applyFill="1" applyBorder="1" applyAlignment="1" applyProtection="1">
      <alignment vertical="center"/>
      <protection locked="0"/>
    </xf>
    <xf numFmtId="0" fontId="66" fillId="0" borderId="16" xfId="0" applyFont="1" applyBorder="1" applyAlignment="1">
      <alignment vertical="center" wrapText="1"/>
    </xf>
    <xf numFmtId="0" fontId="67" fillId="16" borderId="18" xfId="0" applyFont="1" applyFill="1" applyBorder="1" applyAlignment="1">
      <alignment horizontal="center" vertical="center"/>
    </xf>
    <xf numFmtId="0" fontId="67" fillId="16" borderId="12" xfId="0" applyFont="1" applyFill="1" applyBorder="1" applyAlignment="1">
      <alignment horizontal="left" vertical="center"/>
    </xf>
    <xf numFmtId="0" fontId="67" fillId="16" borderId="12" xfId="0" applyFont="1" applyFill="1" applyBorder="1" applyAlignment="1">
      <alignment horizontal="center" vertical="center"/>
    </xf>
    <xf numFmtId="165" fontId="67" fillId="16" borderId="10" xfId="1" applyNumberFormat="1" applyFont="1" applyFill="1" applyBorder="1" applyAlignment="1" applyProtection="1">
      <alignment horizontal="center" vertical="center"/>
    </xf>
    <xf numFmtId="0" fontId="66" fillId="16" borderId="18" xfId="0" applyFont="1" applyFill="1" applyBorder="1" applyAlignment="1">
      <alignment vertical="center"/>
    </xf>
    <xf numFmtId="0" fontId="66" fillId="16" borderId="12" xfId="0" quotePrefix="1" applyFont="1" applyFill="1" applyBorder="1" applyAlignment="1">
      <alignment horizontal="center" vertical="center"/>
    </xf>
    <xf numFmtId="0" fontId="66" fillId="16" borderId="12" xfId="0" applyFont="1" applyFill="1" applyBorder="1" applyAlignment="1">
      <alignment vertical="center"/>
    </xf>
    <xf numFmtId="165" fontId="66" fillId="16" borderId="10" xfId="1" applyNumberFormat="1" applyFont="1" applyFill="1" applyBorder="1" applyAlignment="1" applyProtection="1">
      <alignment vertical="center"/>
    </xf>
    <xf numFmtId="165" fontId="71" fillId="16" borderId="10" xfId="1" applyNumberFormat="1" applyFont="1" applyFill="1" applyBorder="1" applyAlignment="1" applyProtection="1">
      <alignment vertical="center"/>
    </xf>
    <xf numFmtId="165" fontId="66" fillId="11" borderId="48" xfId="1" applyNumberFormat="1" applyFont="1" applyFill="1" applyBorder="1" applyAlignment="1" applyProtection="1">
      <alignment vertical="center"/>
      <protection locked="0"/>
    </xf>
    <xf numFmtId="165" fontId="66" fillId="16" borderId="48" xfId="1" applyNumberFormat="1" applyFont="1" applyFill="1" applyBorder="1" applyAlignment="1" applyProtection="1">
      <alignment vertical="center"/>
    </xf>
    <xf numFmtId="0" fontId="67" fillId="16" borderId="18" xfId="0" applyFont="1" applyFill="1" applyBorder="1" applyAlignment="1">
      <alignment horizontal="center"/>
    </xf>
    <xf numFmtId="0" fontId="67" fillId="16" borderId="12" xfId="0" applyFont="1" applyFill="1" applyBorder="1"/>
    <xf numFmtId="0" fontId="66" fillId="16" borderId="12" xfId="0" applyFont="1" applyFill="1" applyBorder="1"/>
    <xf numFmtId="0" fontId="66" fillId="16" borderId="18" xfId="0" applyFont="1" applyFill="1" applyBorder="1"/>
    <xf numFmtId="0" fontId="66" fillId="16" borderId="12" xfId="0" applyFont="1" applyFill="1" applyBorder="1" applyAlignment="1">
      <alignment horizontal="center"/>
    </xf>
    <xf numFmtId="0" fontId="66" fillId="0" borderId="18" xfId="0" applyFont="1" applyBorder="1" applyAlignment="1">
      <alignment vertical="top"/>
    </xf>
    <xf numFmtId="0" fontId="66" fillId="0" borderId="12" xfId="0" applyFont="1" applyBorder="1" applyAlignment="1">
      <alignment horizontal="center" vertical="top"/>
    </xf>
    <xf numFmtId="0" fontId="66" fillId="0" borderId="12" xfId="0" applyFont="1" applyBorder="1" applyAlignment="1">
      <alignment vertical="top"/>
    </xf>
    <xf numFmtId="1" fontId="67" fillId="0" borderId="18" xfId="0" applyNumberFormat="1" applyFont="1" applyBorder="1" applyAlignment="1">
      <alignment horizontal="center" vertical="center" wrapText="1"/>
    </xf>
    <xf numFmtId="165" fontId="67" fillId="0" borderId="18" xfId="1" applyNumberFormat="1" applyFont="1" applyFill="1" applyBorder="1" applyAlignment="1" applyProtection="1">
      <alignment horizontal="right" vertical="center" wrapText="1"/>
    </xf>
    <xf numFmtId="1" fontId="67" fillId="0" borderId="18" xfId="0" applyNumberFormat="1" applyFont="1" applyBorder="1" applyAlignment="1">
      <alignment horizontal="center" vertical="center"/>
    </xf>
    <xf numFmtId="165" fontId="67" fillId="0" borderId="18" xfId="1" applyNumberFormat="1" applyFont="1" applyFill="1" applyBorder="1" applyAlignment="1" applyProtection="1">
      <alignment horizontal="right" vertical="center"/>
    </xf>
    <xf numFmtId="0" fontId="66" fillId="16" borderId="18" xfId="0" applyFont="1" applyFill="1" applyBorder="1" applyAlignment="1">
      <alignment vertical="top"/>
    </xf>
    <xf numFmtId="0" fontId="66" fillId="16" borderId="12" xfId="0" quotePrefix="1" applyFont="1" applyFill="1" applyBorder="1" applyAlignment="1">
      <alignment horizontal="center" vertical="top"/>
    </xf>
    <xf numFmtId="0" fontId="66" fillId="16" borderId="12" xfId="0" applyFont="1" applyFill="1" applyBorder="1" applyAlignment="1">
      <alignment vertical="top"/>
    </xf>
    <xf numFmtId="1" fontId="67" fillId="16" borderId="18" xfId="0" applyNumberFormat="1" applyFont="1" applyFill="1" applyBorder="1" applyAlignment="1">
      <alignment horizontal="center" vertical="center" wrapText="1"/>
    </xf>
    <xf numFmtId="165" fontId="67" fillId="16" borderId="18" xfId="1" applyNumberFormat="1" applyFont="1" applyFill="1" applyBorder="1" applyAlignment="1" applyProtection="1">
      <alignment horizontal="right" vertical="center" wrapText="1"/>
    </xf>
    <xf numFmtId="1" fontId="67" fillId="0" borderId="12" xfId="0" applyNumberFormat="1" applyFont="1" applyBorder="1" applyAlignment="1">
      <alignment horizontal="center" vertical="center"/>
    </xf>
    <xf numFmtId="165" fontId="66" fillId="0" borderId="12" xfId="1" applyNumberFormat="1" applyFont="1" applyFill="1" applyBorder="1" applyAlignment="1" applyProtection="1">
      <alignment horizontal="right" vertical="center"/>
    </xf>
    <xf numFmtId="165" fontId="66" fillId="0" borderId="12" xfId="1" applyNumberFormat="1" applyFont="1" applyBorder="1" applyAlignment="1" applyProtection="1">
      <alignment vertical="center"/>
    </xf>
    <xf numFmtId="0" fontId="67" fillId="16" borderId="18" xfId="0" applyFont="1" applyFill="1" applyBorder="1" applyAlignment="1">
      <alignment horizontal="center" vertical="top"/>
    </xf>
    <xf numFmtId="0" fontId="67" fillId="16" borderId="12" xfId="0" applyFont="1" applyFill="1" applyBorder="1" applyAlignment="1">
      <alignment vertical="top"/>
    </xf>
    <xf numFmtId="165" fontId="77" fillId="11" borderId="10" xfId="1" applyNumberFormat="1" applyFont="1" applyFill="1" applyBorder="1" applyAlignment="1" applyProtection="1">
      <alignment vertical="center"/>
      <protection locked="0"/>
    </xf>
    <xf numFmtId="0" fontId="9" fillId="0" borderId="27" xfId="0" applyFont="1" applyBorder="1" applyAlignment="1">
      <alignment horizontal="center" vertical="center"/>
    </xf>
    <xf numFmtId="3" fontId="7" fillId="0" borderId="0" xfId="0" applyNumberFormat="1" applyFont="1" applyAlignment="1">
      <alignment horizontal="left"/>
    </xf>
    <xf numFmtId="0" fontId="7" fillId="0" borderId="0" xfId="0" applyFont="1"/>
    <xf numFmtId="3" fontId="7" fillId="33" borderId="0" xfId="0" applyNumberFormat="1" applyFont="1" applyFill="1" applyAlignment="1">
      <alignment horizontal="left"/>
    </xf>
    <xf numFmtId="3" fontId="60" fillId="0" borderId="0" xfId="0" applyNumberFormat="1" applyFont="1" applyAlignment="1">
      <alignment horizontal="left"/>
    </xf>
    <xf numFmtId="0" fontId="8" fillId="0" borderId="0" xfId="0" applyFont="1" applyAlignment="1">
      <alignment horizontal="center"/>
    </xf>
    <xf numFmtId="3" fontId="1" fillId="0" borderId="0" xfId="0" applyNumberFormat="1" applyFont="1" applyAlignment="1" applyProtection="1">
      <alignment horizontal="center"/>
      <protection locked="0"/>
    </xf>
    <xf numFmtId="10" fontId="67" fillId="0" borderId="0" xfId="19" applyNumberFormat="1" applyFont="1" applyFill="1" applyBorder="1" applyAlignment="1" applyProtection="1">
      <alignment horizontal="center"/>
      <protection locked="0"/>
    </xf>
    <xf numFmtId="165" fontId="67" fillId="0" borderId="14" xfId="0" applyNumberFormat="1" applyFont="1" applyBorder="1" applyProtection="1">
      <protection locked="0"/>
    </xf>
    <xf numFmtId="43" fontId="66" fillId="11" borderId="31" xfId="1" applyFont="1" applyFill="1" applyBorder="1" applyAlignment="1" applyProtection="1">
      <alignment vertical="center"/>
      <protection locked="0"/>
    </xf>
    <xf numFmtId="43" fontId="66" fillId="11" borderId="10" xfId="1" applyFont="1" applyFill="1" applyBorder="1" applyAlignment="1" applyProtection="1">
      <alignment vertical="center"/>
      <protection locked="0"/>
    </xf>
    <xf numFmtId="3" fontId="78" fillId="15" borderId="0" xfId="0" applyNumberFormat="1" applyFont="1" applyFill="1" applyAlignment="1" applyProtection="1">
      <alignment horizontal="center" vertical="center"/>
      <protection locked="0"/>
    </xf>
    <xf numFmtId="0" fontId="67" fillId="0" borderId="0" xfId="0" applyFont="1" applyAlignment="1">
      <alignment horizontal="center" vertical="top" wrapText="1"/>
    </xf>
    <xf numFmtId="0" fontId="67" fillId="0" borderId="0" xfId="29" applyFont="1" applyAlignment="1">
      <alignment horizontal="center" vertical="top" wrapText="1"/>
    </xf>
    <xf numFmtId="43" fontId="62" fillId="11" borderId="10" xfId="1" applyFont="1" applyFill="1" applyBorder="1" applyAlignment="1" applyProtection="1">
      <alignment vertical="center"/>
      <protection locked="0"/>
    </xf>
    <xf numFmtId="0" fontId="66" fillId="16" borderId="30" xfId="29" applyFont="1" applyFill="1" applyBorder="1" applyAlignment="1">
      <alignment vertical="center"/>
    </xf>
    <xf numFmtId="0" fontId="66" fillId="16" borderId="0" xfId="29" applyFont="1" applyFill="1" applyAlignment="1">
      <alignment vertical="center"/>
    </xf>
    <xf numFmtId="0" fontId="66" fillId="0" borderId="33" xfId="29" applyFont="1" applyBorder="1" applyAlignment="1">
      <alignment vertical="center"/>
    </xf>
    <xf numFmtId="0" fontId="66" fillId="0" borderId="34" xfId="29" quotePrefix="1" applyFont="1" applyBorder="1" applyAlignment="1">
      <alignment horizontal="center" vertical="center"/>
    </xf>
    <xf numFmtId="0" fontId="66" fillId="0" borderId="51" xfId="29" applyFont="1" applyBorder="1" applyAlignment="1">
      <alignment vertical="center"/>
    </xf>
    <xf numFmtId="0" fontId="66" fillId="0" borderId="52" xfId="29" applyFont="1" applyBorder="1" applyAlignment="1">
      <alignment vertical="center"/>
    </xf>
    <xf numFmtId="1" fontId="67" fillId="0" borderId="5" xfId="28" applyNumberFormat="1" applyFont="1" applyFill="1" applyBorder="1" applyAlignment="1" applyProtection="1">
      <alignment horizontal="center" vertical="center"/>
    </xf>
    <xf numFmtId="165" fontId="38" fillId="0" borderId="53" xfId="28" applyNumberFormat="1" applyFont="1" applyFill="1" applyBorder="1" applyAlignment="1" applyProtection="1">
      <alignment horizontal="right" vertical="center"/>
    </xf>
    <xf numFmtId="165" fontId="24" fillId="11" borderId="27" xfId="28" applyNumberFormat="1" applyFont="1" applyFill="1" applyBorder="1" applyAlignment="1" applyProtection="1">
      <alignment vertical="center"/>
      <protection locked="0"/>
    </xf>
    <xf numFmtId="165" fontId="66" fillId="11" borderId="27" xfId="28" applyNumberFormat="1" applyFont="1" applyFill="1" applyBorder="1" applyAlignment="1" applyProtection="1">
      <alignment vertical="center"/>
      <protection locked="0"/>
    </xf>
    <xf numFmtId="165" fontId="66" fillId="11" borderId="53" xfId="28" applyNumberFormat="1" applyFont="1" applyFill="1" applyBorder="1" applyAlignment="1" applyProtection="1">
      <alignment vertical="center"/>
      <protection locked="0"/>
    </xf>
    <xf numFmtId="0" fontId="66" fillId="0" borderId="21" xfId="29" applyFont="1" applyBorder="1" applyAlignment="1">
      <alignment vertical="center"/>
    </xf>
    <xf numFmtId="0" fontId="66" fillId="0" borderId="14" xfId="29" quotePrefix="1" applyFont="1" applyBorder="1" applyAlignment="1">
      <alignment horizontal="center" vertical="center"/>
    </xf>
    <xf numFmtId="0" fontId="66" fillId="0" borderId="14" xfId="29" applyFont="1" applyBorder="1" applyAlignment="1">
      <alignment vertical="center"/>
    </xf>
    <xf numFmtId="165" fontId="38" fillId="0" borderId="19" xfId="28" applyNumberFormat="1" applyFont="1" applyFill="1" applyBorder="1" applyAlignment="1" applyProtection="1">
      <alignment horizontal="right" vertical="center"/>
    </xf>
    <xf numFmtId="165" fontId="24" fillId="11" borderId="54" xfId="28" applyNumberFormat="1" applyFont="1" applyFill="1" applyBorder="1" applyAlignment="1" applyProtection="1">
      <alignment vertical="center"/>
      <protection locked="0"/>
    </xf>
    <xf numFmtId="165" fontId="66" fillId="11" borderId="54" xfId="28" applyNumberFormat="1" applyFont="1" applyFill="1" applyBorder="1" applyAlignment="1" applyProtection="1">
      <alignment vertical="center"/>
      <protection locked="0"/>
    </xf>
    <xf numFmtId="165" fontId="66" fillId="11" borderId="29" xfId="28" applyNumberFormat="1" applyFont="1" applyFill="1" applyBorder="1" applyAlignment="1" applyProtection="1">
      <alignment vertical="center"/>
      <protection locked="0"/>
    </xf>
    <xf numFmtId="0" fontId="7" fillId="0" borderId="0" xfId="15" quotePrefix="1" applyFont="1" applyAlignment="1">
      <alignment horizontal="center"/>
    </xf>
    <xf numFmtId="10" fontId="0" fillId="0" borderId="0" xfId="0" applyNumberFormat="1"/>
    <xf numFmtId="165" fontId="67" fillId="0" borderId="34" xfId="0" applyNumberFormat="1" applyFont="1" applyBorder="1" applyAlignment="1">
      <alignment vertical="center"/>
    </xf>
    <xf numFmtId="4" fontId="4" fillId="0" borderId="0" xfId="0" applyNumberFormat="1" applyFont="1" applyAlignment="1">
      <alignment vertical="center"/>
    </xf>
    <xf numFmtId="164" fontId="4" fillId="0" borderId="0" xfId="0" applyNumberFormat="1" applyFont="1" applyAlignment="1">
      <alignment vertical="center"/>
    </xf>
    <xf numFmtId="0" fontId="79" fillId="0" borderId="15" xfId="0" applyFont="1" applyBorder="1" applyAlignment="1">
      <alignment horizontal="right"/>
    </xf>
    <xf numFmtId="49" fontId="12" fillId="5" borderId="33" xfId="15" applyNumberFormat="1" applyFont="1" applyFill="1" applyBorder="1" applyAlignment="1">
      <alignment horizontal="center" vertical="center"/>
    </xf>
    <xf numFmtId="49" fontId="12" fillId="5" borderId="34" xfId="15" applyNumberFormat="1" applyFont="1" applyFill="1" applyBorder="1" applyAlignment="1">
      <alignment horizontal="center" vertical="center"/>
    </xf>
    <xf numFmtId="49" fontId="12" fillId="5" borderId="20" xfId="15" applyNumberFormat="1" applyFont="1" applyFill="1" applyBorder="1" applyAlignment="1">
      <alignment horizontal="center" vertical="center"/>
    </xf>
    <xf numFmtId="49" fontId="12" fillId="5" borderId="0" xfId="15" applyNumberFormat="1" applyFont="1" applyFill="1" applyAlignment="1">
      <alignment horizontal="center" vertical="center"/>
    </xf>
    <xf numFmtId="49" fontId="12" fillId="5" borderId="21" xfId="15" applyNumberFormat="1" applyFont="1" applyFill="1" applyBorder="1" applyAlignment="1">
      <alignment horizontal="center" vertical="center"/>
    </xf>
    <xf numFmtId="49" fontId="12" fillId="5" borderId="14" xfId="15" applyNumberFormat="1" applyFont="1" applyFill="1" applyBorder="1" applyAlignment="1">
      <alignment horizontal="center" vertical="center"/>
    </xf>
    <xf numFmtId="0" fontId="11" fillId="5" borderId="5" xfId="15" applyFont="1" applyFill="1" applyBorder="1" applyAlignment="1">
      <alignment horizontal="center" vertical="center" wrapText="1"/>
    </xf>
    <xf numFmtId="0" fontId="11" fillId="5" borderId="9" xfId="15" applyFont="1" applyFill="1" applyBorder="1" applyAlignment="1">
      <alignment horizontal="center" vertical="center" wrapText="1"/>
    </xf>
    <xf numFmtId="0" fontId="13" fillId="5" borderId="5" xfId="15" applyFont="1" applyFill="1" applyBorder="1" applyAlignment="1">
      <alignment horizontal="center" vertical="center"/>
    </xf>
    <xf numFmtId="0" fontId="13" fillId="5" borderId="9" xfId="15" applyFont="1" applyFill="1" applyBorder="1" applyAlignment="1">
      <alignment horizontal="center" vertical="center"/>
    </xf>
    <xf numFmtId="0" fontId="11" fillId="6" borderId="5" xfId="15" applyFont="1" applyFill="1" applyBorder="1" applyAlignment="1">
      <alignment horizontal="justify" vertical="center"/>
    </xf>
    <xf numFmtId="0" fontId="11" fillId="6" borderId="9" xfId="15" applyFont="1" applyFill="1" applyBorder="1" applyAlignment="1">
      <alignment horizontal="justify" vertical="center"/>
    </xf>
    <xf numFmtId="0" fontId="12" fillId="5" borderId="27" xfId="15" applyFont="1" applyFill="1" applyBorder="1" applyAlignment="1">
      <alignment horizontal="center" vertical="center"/>
    </xf>
    <xf numFmtId="0" fontId="12" fillId="5" borderId="28" xfId="15" applyFont="1" applyFill="1" applyBorder="1" applyAlignment="1">
      <alignment horizontal="center" vertical="center"/>
    </xf>
    <xf numFmtId="0" fontId="12" fillId="5" borderId="39" xfId="15" applyFont="1" applyFill="1" applyBorder="1" applyAlignment="1">
      <alignment horizontal="center" vertical="center"/>
    </xf>
    <xf numFmtId="0" fontId="10" fillId="0" borderId="0" xfId="15" applyFont="1" applyAlignment="1">
      <alignment horizontal="left" vertical="top" wrapText="1"/>
    </xf>
    <xf numFmtId="0" fontId="10" fillId="0" borderId="12" xfId="15" applyFont="1" applyBorder="1" applyAlignment="1">
      <alignment horizontal="left" vertical="center" wrapText="1"/>
    </xf>
    <xf numFmtId="0" fontId="10" fillId="0" borderId="34" xfId="15" applyFont="1" applyBorder="1" applyAlignment="1">
      <alignment horizontal="left" vertical="top" wrapText="1"/>
    </xf>
    <xf numFmtId="0" fontId="16" fillId="0" borderId="0" xfId="15" applyFont="1" applyAlignment="1">
      <alignment horizontal="left" wrapText="1"/>
    </xf>
    <xf numFmtId="0" fontId="6" fillId="0" borderId="0" xfId="15" applyFont="1" applyAlignment="1">
      <alignment horizontal="center"/>
    </xf>
    <xf numFmtId="0" fontId="6" fillId="0" borderId="0" xfId="15" quotePrefix="1" applyFont="1" applyAlignment="1" applyProtection="1">
      <alignment horizontal="center"/>
      <protection locked="0"/>
    </xf>
    <xf numFmtId="0" fontId="6" fillId="0" borderId="0" xfId="15" applyFont="1" applyAlignment="1" applyProtection="1">
      <alignment horizontal="center"/>
      <protection locked="0"/>
    </xf>
    <xf numFmtId="0" fontId="11" fillId="0" borderId="14" xfId="15" applyFont="1" applyBorder="1" applyAlignment="1">
      <alignment horizontal="center"/>
    </xf>
    <xf numFmtId="0" fontId="8" fillId="0" borderId="34" xfId="15" applyFont="1" applyBorder="1" applyAlignment="1">
      <alignment horizontal="left" vertical="center"/>
    </xf>
    <xf numFmtId="0" fontId="72" fillId="16" borderId="5" xfId="0" applyFont="1" applyFill="1" applyBorder="1" applyAlignment="1">
      <alignment horizontal="center" vertical="center"/>
    </xf>
    <xf numFmtId="0" fontId="72" fillId="16" borderId="9" xfId="0" applyFont="1" applyFill="1" applyBorder="1" applyAlignment="1">
      <alignment horizontal="center" vertical="center"/>
    </xf>
    <xf numFmtId="0" fontId="67" fillId="16" borderId="27" xfId="0" applyFont="1" applyFill="1" applyBorder="1" applyAlignment="1">
      <alignment horizontal="center" vertical="center" wrapText="1"/>
    </xf>
    <xf numFmtId="0" fontId="67" fillId="16" borderId="39" xfId="0" applyFont="1" applyFill="1" applyBorder="1" applyAlignment="1">
      <alignment horizontal="center" vertical="center" wrapText="1"/>
    </xf>
    <xf numFmtId="0" fontId="67" fillId="16" borderId="5" xfId="0" applyFont="1" applyFill="1" applyBorder="1" applyAlignment="1">
      <alignment horizontal="center" vertical="center" wrapText="1"/>
    </xf>
    <xf numFmtId="0" fontId="67" fillId="16" borderId="9" xfId="0" applyFont="1" applyFill="1" applyBorder="1" applyAlignment="1">
      <alignment horizontal="center" vertical="center" wrapText="1"/>
    </xf>
    <xf numFmtId="0" fontId="70" fillId="0" borderId="14" xfId="0" applyFont="1" applyBorder="1" applyAlignment="1" applyProtection="1">
      <alignment horizontal="right"/>
      <protection locked="0"/>
    </xf>
    <xf numFmtId="0" fontId="67" fillId="0" borderId="0" xfId="0" applyFont="1" applyAlignment="1">
      <alignment horizontal="center"/>
    </xf>
    <xf numFmtId="0" fontId="80" fillId="0" borderId="0" xfId="0" applyFont="1" applyAlignment="1" applyProtection="1">
      <alignment horizontal="center"/>
      <protection locked="0"/>
    </xf>
    <xf numFmtId="15" fontId="80" fillId="0" borderId="0" xfId="0" quotePrefix="1" applyNumberFormat="1" applyFont="1" applyAlignment="1" applyProtection="1">
      <alignment horizontal="center"/>
      <protection locked="0"/>
    </xf>
    <xf numFmtId="0" fontId="75" fillId="0" borderId="0" xfId="0" applyFont="1" applyAlignment="1" applyProtection="1">
      <alignment horizontal="center"/>
      <protection locked="0"/>
    </xf>
    <xf numFmtId="0" fontId="67" fillId="0" borderId="0" xfId="0" applyFont="1" applyAlignment="1">
      <alignment horizontal="center" vertical="top" wrapText="1"/>
    </xf>
    <xf numFmtId="0" fontId="67" fillId="0" borderId="34" xfId="0" applyFont="1" applyBorder="1" applyAlignment="1">
      <alignment horizontal="left" vertical="center"/>
    </xf>
    <xf numFmtId="0" fontId="66" fillId="0" borderId="16" xfId="0" applyFont="1" applyBorder="1" applyAlignment="1">
      <alignment horizontal="left" vertical="center" wrapText="1"/>
    </xf>
    <xf numFmtId="0" fontId="66" fillId="0" borderId="12" xfId="0" applyFont="1" applyBorder="1" applyAlignment="1">
      <alignment horizontal="left" vertical="center" wrapText="1"/>
    </xf>
    <xf numFmtId="1" fontId="67" fillId="16" borderId="5" xfId="0" applyNumberFormat="1" applyFont="1" applyFill="1" applyBorder="1" applyAlignment="1">
      <alignment horizontal="center" vertical="center"/>
    </xf>
    <xf numFmtId="1" fontId="67" fillId="16" borderId="8" xfId="0" applyNumberFormat="1" applyFont="1" applyFill="1" applyBorder="1" applyAlignment="1">
      <alignment horizontal="center" vertical="center"/>
    </xf>
    <xf numFmtId="1" fontId="67" fillId="16" borderId="9" xfId="0" applyNumberFormat="1" applyFont="1" applyFill="1" applyBorder="1" applyAlignment="1">
      <alignment horizontal="center" vertical="center"/>
    </xf>
    <xf numFmtId="0" fontId="67" fillId="16" borderId="5" xfId="0" applyFont="1" applyFill="1" applyBorder="1" applyAlignment="1">
      <alignment horizontal="center" vertical="center"/>
    </xf>
    <xf numFmtId="0" fontId="67" fillId="16" borderId="8" xfId="0" applyFont="1" applyFill="1" applyBorder="1" applyAlignment="1">
      <alignment horizontal="center" vertical="center"/>
    </xf>
    <xf numFmtId="0" fontId="67" fillId="16" borderId="9" xfId="0" applyFont="1" applyFill="1" applyBorder="1" applyAlignment="1">
      <alignment horizontal="center" vertical="center"/>
    </xf>
    <xf numFmtId="0" fontId="67" fillId="16" borderId="6" xfId="0" applyFont="1" applyFill="1" applyBorder="1" applyAlignment="1">
      <alignment horizontal="center" vertical="center"/>
    </xf>
    <xf numFmtId="0" fontId="67" fillId="16" borderId="7" xfId="0" applyFont="1" applyFill="1" applyBorder="1" applyAlignment="1">
      <alignment horizontal="center" vertical="center"/>
    </xf>
    <xf numFmtId="0" fontId="67" fillId="16" borderId="30" xfId="0" applyFont="1" applyFill="1" applyBorder="1" applyAlignment="1">
      <alignment horizontal="center" vertical="center"/>
    </xf>
    <xf numFmtId="0" fontId="66" fillId="0" borderId="34" xfId="0" applyFont="1" applyBorder="1" applyAlignment="1">
      <alignment horizontal="left" vertical="top" wrapText="1"/>
    </xf>
    <xf numFmtId="0" fontId="66" fillId="0" borderId="0" xfId="0" applyFont="1" applyAlignment="1">
      <alignment horizontal="left" vertical="top" wrapText="1"/>
    </xf>
    <xf numFmtId="49" fontId="67" fillId="16" borderId="33" xfId="0" applyNumberFormat="1" applyFont="1" applyFill="1" applyBorder="1" applyAlignment="1">
      <alignment horizontal="center" vertical="center"/>
    </xf>
    <xf numFmtId="49" fontId="67" fillId="16" borderId="34" xfId="0" applyNumberFormat="1" applyFont="1" applyFill="1" applyBorder="1" applyAlignment="1">
      <alignment horizontal="center" vertical="center"/>
    </xf>
    <xf numFmtId="49" fontId="67" fillId="16" borderId="20" xfId="0" applyNumberFormat="1" applyFont="1" applyFill="1" applyBorder="1" applyAlignment="1">
      <alignment horizontal="center" vertical="center"/>
    </xf>
    <xf numFmtId="49" fontId="67" fillId="16" borderId="0" xfId="0" applyNumberFormat="1" applyFont="1" applyFill="1" applyAlignment="1">
      <alignment horizontal="center" vertical="center"/>
    </xf>
    <xf numFmtId="49" fontId="67" fillId="16" borderId="21" xfId="0" applyNumberFormat="1" applyFont="1" applyFill="1" applyBorder="1" applyAlignment="1">
      <alignment horizontal="center" vertical="center"/>
    </xf>
    <xf numFmtId="49" fontId="67" fillId="16" borderId="14" xfId="0" applyNumberFormat="1" applyFont="1" applyFill="1" applyBorder="1" applyAlignment="1">
      <alignment horizontal="center" vertical="center"/>
    </xf>
    <xf numFmtId="15" fontId="80" fillId="0" borderId="0" xfId="0" applyNumberFormat="1" applyFont="1" applyAlignment="1" applyProtection="1">
      <alignment horizontal="center"/>
      <protection locked="0"/>
    </xf>
    <xf numFmtId="16" fontId="80" fillId="0" borderId="0" xfId="0" quotePrefix="1" applyNumberFormat="1" applyFont="1" applyAlignment="1" applyProtection="1">
      <alignment horizontal="center"/>
      <protection locked="0"/>
    </xf>
    <xf numFmtId="0" fontId="9" fillId="0" borderId="0" xfId="0" applyFont="1" applyAlignment="1">
      <alignment horizontal="center"/>
    </xf>
    <xf numFmtId="0" fontId="30" fillId="0" borderId="0" xfId="0" applyFont="1" applyAlignment="1" applyProtection="1">
      <alignment horizontal="center"/>
      <protection locked="0"/>
    </xf>
    <xf numFmtId="0" fontId="31" fillId="0" borderId="0" xfId="0" applyFont="1" applyAlignment="1" applyProtection="1">
      <alignment horizontal="center"/>
      <protection locked="0"/>
    </xf>
    <xf numFmtId="166" fontId="81" fillId="0" borderId="0" xfId="0" quotePrefix="1" applyNumberFormat="1" applyFont="1" applyAlignment="1" applyProtection="1">
      <alignment horizontal="center"/>
      <protection locked="0"/>
    </xf>
    <xf numFmtId="0" fontId="36" fillId="34" borderId="5" xfId="0" applyFont="1" applyFill="1" applyBorder="1" applyAlignment="1">
      <alignment horizontal="center" vertical="center"/>
    </xf>
    <xf numFmtId="0" fontId="35" fillId="34" borderId="6" xfId="0" applyFont="1" applyFill="1" applyBorder="1" applyAlignment="1">
      <alignment horizontal="center" vertical="center"/>
    </xf>
    <xf numFmtId="0" fontId="33" fillId="0" borderId="14" xfId="0" applyFont="1" applyBorder="1" applyAlignment="1" applyProtection="1">
      <alignment horizontal="right"/>
      <protection locked="0"/>
    </xf>
    <xf numFmtId="0" fontId="4" fillId="0" borderId="0" xfId="0" applyFont="1" applyAlignment="1">
      <alignment horizontal="left" vertical="top" wrapText="1"/>
    </xf>
    <xf numFmtId="0" fontId="9" fillId="0" borderId="34" xfId="0" applyFont="1" applyBorder="1" applyAlignment="1">
      <alignment horizontal="left" vertical="center"/>
    </xf>
    <xf numFmtId="0" fontId="4" fillId="0" borderId="12" xfId="0" applyFont="1" applyBorder="1" applyAlignment="1">
      <alignment horizontal="left" vertical="center" wrapText="1"/>
    </xf>
    <xf numFmtId="0" fontId="4" fillId="0" borderId="16" xfId="0" applyFont="1" applyBorder="1" applyAlignment="1">
      <alignment horizontal="left" vertical="center" wrapText="1"/>
    </xf>
    <xf numFmtId="0" fontId="4" fillId="0" borderId="34" xfId="0" applyFont="1" applyBorder="1" applyAlignment="1">
      <alignment horizontal="left" vertical="top" wrapText="1"/>
    </xf>
    <xf numFmtId="0" fontId="35" fillId="34" borderId="5" xfId="0" applyFont="1" applyFill="1" applyBorder="1" applyAlignment="1">
      <alignment horizontal="center" vertical="center"/>
    </xf>
    <xf numFmtId="0" fontId="40" fillId="0" borderId="0" xfId="0" applyFont="1" applyAlignment="1">
      <alignment horizontal="center" vertical="top" wrapText="1"/>
    </xf>
    <xf numFmtId="0" fontId="35" fillId="34" borderId="5" xfId="0" applyFont="1" applyFill="1" applyBorder="1" applyAlignment="1">
      <alignment horizontal="center" vertical="center" wrapText="1"/>
    </xf>
    <xf numFmtId="49" fontId="34" fillId="34" borderId="33" xfId="0" applyNumberFormat="1" applyFont="1" applyFill="1" applyBorder="1" applyAlignment="1">
      <alignment horizontal="center" vertical="center"/>
    </xf>
    <xf numFmtId="1" fontId="35" fillId="34" borderId="5" xfId="0" applyNumberFormat="1" applyFont="1" applyFill="1" applyBorder="1" applyAlignment="1">
      <alignment horizontal="center" vertical="center"/>
    </xf>
    <xf numFmtId="0" fontId="9" fillId="34" borderId="5" xfId="0" applyFont="1" applyFill="1" applyBorder="1" applyAlignment="1">
      <alignment horizontal="center" vertical="center" wrapText="1"/>
    </xf>
    <xf numFmtId="0" fontId="35" fillId="34" borderId="27" xfId="0" applyFont="1" applyFill="1" applyBorder="1" applyAlignment="1">
      <alignment horizontal="center" vertical="center" wrapText="1"/>
    </xf>
    <xf numFmtId="0" fontId="35" fillId="34" borderId="33" xfId="0" applyFont="1" applyFill="1" applyBorder="1" applyAlignment="1">
      <alignment horizontal="center" vertical="center" wrapText="1"/>
    </xf>
    <xf numFmtId="0" fontId="66" fillId="0" borderId="0" xfId="29" applyFont="1" applyAlignment="1">
      <alignment horizontal="left" vertical="top" wrapText="1"/>
    </xf>
    <xf numFmtId="0" fontId="72" fillId="16" borderId="5" xfId="29" applyFont="1" applyFill="1" applyBorder="1" applyAlignment="1">
      <alignment horizontal="center" vertical="center"/>
    </xf>
    <xf numFmtId="0" fontId="72" fillId="16" borderId="9" xfId="29" applyFont="1" applyFill="1" applyBorder="1" applyAlignment="1">
      <alignment horizontal="center" vertical="center"/>
    </xf>
    <xf numFmtId="0" fontId="66" fillId="0" borderId="12" xfId="29" applyFont="1" applyBorder="1" applyAlignment="1">
      <alignment horizontal="left" vertical="center" wrapText="1"/>
    </xf>
    <xf numFmtId="0" fontId="66" fillId="0" borderId="10" xfId="29" applyFont="1" applyBorder="1" applyAlignment="1">
      <alignment horizontal="left" vertical="center" wrapText="1"/>
    </xf>
    <xf numFmtId="0" fontId="67" fillId="0" borderId="0" xfId="29" applyFont="1" applyAlignment="1">
      <alignment horizontal="center"/>
    </xf>
    <xf numFmtId="0" fontId="80" fillId="0" borderId="0" xfId="29" applyFont="1" applyAlignment="1" applyProtection="1">
      <alignment horizontal="center"/>
      <protection locked="0"/>
    </xf>
    <xf numFmtId="0" fontId="67" fillId="16" borderId="5" xfId="29" applyFont="1" applyFill="1" applyBorder="1" applyAlignment="1">
      <alignment horizontal="center" vertical="center" wrapText="1"/>
    </xf>
    <xf numFmtId="0" fontId="67" fillId="16" borderId="9" xfId="29" applyFont="1" applyFill="1" applyBorder="1" applyAlignment="1">
      <alignment horizontal="center" vertical="center" wrapText="1"/>
    </xf>
    <xf numFmtId="0" fontId="67" fillId="0" borderId="34" xfId="29" applyFont="1" applyBorder="1" applyAlignment="1">
      <alignment horizontal="left" vertical="center"/>
    </xf>
    <xf numFmtId="0" fontId="67" fillId="16" borderId="27" xfId="29" applyFont="1" applyFill="1" applyBorder="1" applyAlignment="1">
      <alignment horizontal="center" vertical="center" wrapText="1"/>
    </xf>
    <xf numFmtId="0" fontId="67" fillId="16" borderId="39" xfId="29" applyFont="1" applyFill="1" applyBorder="1" applyAlignment="1">
      <alignment horizontal="center" vertical="center" wrapText="1"/>
    </xf>
    <xf numFmtId="0" fontId="67" fillId="0" borderId="0" xfId="29" applyFont="1" applyAlignment="1">
      <alignment horizontal="center" vertical="top" wrapText="1"/>
    </xf>
    <xf numFmtId="0" fontId="66" fillId="0" borderId="34" xfId="29" applyFont="1" applyBorder="1" applyAlignment="1">
      <alignment horizontal="left" vertical="top" wrapText="1"/>
    </xf>
    <xf numFmtId="16" fontId="80" fillId="0" borderId="0" xfId="29" quotePrefix="1" applyNumberFormat="1" applyFont="1" applyAlignment="1" applyProtection="1">
      <alignment horizontal="center"/>
      <protection locked="0"/>
    </xf>
    <xf numFmtId="49" fontId="67" fillId="16" borderId="33" xfId="29" applyNumberFormat="1" applyFont="1" applyFill="1" applyBorder="1" applyAlignment="1">
      <alignment horizontal="center" vertical="center"/>
    </xf>
    <xf numFmtId="49" fontId="67" fillId="16" borderId="34" xfId="29" applyNumberFormat="1" applyFont="1" applyFill="1" applyBorder="1" applyAlignment="1">
      <alignment horizontal="center" vertical="center"/>
    </xf>
    <xf numFmtId="49" fontId="67" fillId="16" borderId="20" xfId="29" applyNumberFormat="1" applyFont="1" applyFill="1" applyBorder="1" applyAlignment="1">
      <alignment horizontal="center" vertical="center"/>
    </xf>
    <xf numFmtId="49" fontId="67" fillId="16" borderId="0" xfId="29" applyNumberFormat="1" applyFont="1" applyFill="1" applyAlignment="1">
      <alignment horizontal="center" vertical="center"/>
    </xf>
    <xf numFmtId="49" fontId="67" fillId="16" borderId="21" xfId="29" applyNumberFormat="1" applyFont="1" applyFill="1" applyBorder="1" applyAlignment="1">
      <alignment horizontal="center" vertical="center"/>
    </xf>
    <xf numFmtId="49" fontId="67" fillId="16" borderId="14" xfId="29" applyNumberFormat="1" applyFont="1" applyFill="1" applyBorder="1" applyAlignment="1">
      <alignment horizontal="center" vertical="center"/>
    </xf>
    <xf numFmtId="1" fontId="67" fillId="16" borderId="5" xfId="29" applyNumberFormat="1" applyFont="1" applyFill="1" applyBorder="1" applyAlignment="1">
      <alignment horizontal="center" vertical="center"/>
    </xf>
    <xf numFmtId="1" fontId="67" fillId="16" borderId="8" xfId="29" applyNumberFormat="1" applyFont="1" applyFill="1" applyBorder="1" applyAlignment="1">
      <alignment horizontal="center" vertical="center"/>
    </xf>
    <xf numFmtId="1" fontId="67" fillId="16" borderId="9" xfId="29" applyNumberFormat="1" applyFont="1" applyFill="1" applyBorder="1" applyAlignment="1">
      <alignment horizontal="center" vertical="center"/>
    </xf>
    <xf numFmtId="0" fontId="38" fillId="16" borderId="5" xfId="29" applyFont="1" applyFill="1" applyBorder="1" applyAlignment="1">
      <alignment horizontal="center" vertical="center"/>
    </xf>
    <xf numFmtId="0" fontId="38" fillId="16" borderId="8" xfId="29" applyFont="1" applyFill="1" applyBorder="1" applyAlignment="1">
      <alignment horizontal="center" vertical="center"/>
    </xf>
    <xf numFmtId="0" fontId="38" fillId="16" borderId="9" xfId="29" applyFont="1" applyFill="1" applyBorder="1" applyAlignment="1">
      <alignment horizontal="center" vertical="center"/>
    </xf>
    <xf numFmtId="0" fontId="67" fillId="16" borderId="6" xfId="29" applyFont="1" applyFill="1" applyBorder="1" applyAlignment="1">
      <alignment horizontal="center" vertical="center"/>
    </xf>
    <xf numFmtId="0" fontId="67" fillId="16" borderId="7" xfId="29" applyFont="1" applyFill="1" applyBorder="1" applyAlignment="1">
      <alignment horizontal="center" vertical="center"/>
    </xf>
    <xf numFmtId="0" fontId="67" fillId="16" borderId="30" xfId="29" applyFont="1" applyFill="1" applyBorder="1" applyAlignment="1">
      <alignment horizontal="center" vertical="center"/>
    </xf>
    <xf numFmtId="166" fontId="81" fillId="0" borderId="0" xfId="0" applyNumberFormat="1" applyFont="1" applyAlignment="1"/>
    <xf numFmtId="0" fontId="83" fillId="34" borderId="34" xfId="0" applyFont="1" applyFill="1" applyBorder="1" applyAlignment="1"/>
    <xf numFmtId="0" fontId="83" fillId="34" borderId="27" xfId="0" applyFont="1" applyFill="1" applyBorder="1" applyAlignment="1"/>
    <xf numFmtId="0" fontId="82" fillId="34" borderId="7" xfId="0" applyFont="1" applyFill="1" applyBorder="1" applyAlignment="1"/>
    <xf numFmtId="0" fontId="82" fillId="34" borderId="30" xfId="0" applyFont="1" applyFill="1" applyBorder="1" applyAlignment="1"/>
    <xf numFmtId="0" fontId="83" fillId="34" borderId="20" xfId="0" applyFont="1" applyFill="1" applyBorder="1" applyAlignment="1"/>
    <xf numFmtId="0" fontId="83" fillId="34" borderId="0" xfId="0" applyFont="1" applyFill="1" applyAlignment="1"/>
    <xf numFmtId="0" fontId="83" fillId="34" borderId="28" xfId="0" applyFont="1" applyFill="1" applyBorder="1" applyAlignment="1"/>
    <xf numFmtId="0" fontId="82" fillId="34" borderId="8" xfId="0" applyFont="1" applyFill="1" applyBorder="1" applyAlignment="1"/>
    <xf numFmtId="0" fontId="83" fillId="34" borderId="21" xfId="0" applyFont="1" applyFill="1" applyBorder="1" applyAlignment="1"/>
    <xf numFmtId="0" fontId="83" fillId="34" borderId="14" xfId="0" applyFont="1" applyFill="1" applyBorder="1" applyAlignment="1"/>
    <xf numFmtId="0" fontId="83" fillId="34" borderId="39" xfId="0" applyFont="1" applyFill="1" applyBorder="1" applyAlignment="1"/>
    <xf numFmtId="0" fontId="82" fillId="34" borderId="9" xfId="0" applyFont="1" applyFill="1" applyBorder="1" applyAlignment="1"/>
    <xf numFmtId="0" fontId="67" fillId="34" borderId="9" xfId="0" applyFont="1" applyFill="1" applyBorder="1" applyAlignment="1"/>
    <xf numFmtId="0" fontId="82" fillId="34" borderId="21" xfId="0" applyFont="1" applyFill="1" applyBorder="1" applyAlignment="1"/>
    <xf numFmtId="0" fontId="82" fillId="34" borderId="39" xfId="0" applyFont="1" applyFill="1" applyBorder="1" applyAlignment="1"/>
  </cellXfs>
  <cellStyles count="31">
    <cellStyle name="Comma" xfId="1" builtinId="3"/>
    <cellStyle name="Comma [0]" xfId="2" builtinId="6"/>
    <cellStyle name="Comma [0] 3" xfId="3" xr:uid="{00000000-0005-0000-0000-000002000000}"/>
    <cellStyle name="Comma 12 2 5" xfId="4" xr:uid="{00000000-0005-0000-0000-000003000000}"/>
    <cellStyle name="Comma 190" xfId="5" xr:uid="{00000000-0005-0000-0000-000004000000}"/>
    <cellStyle name="Comma 2" xfId="6" xr:uid="{00000000-0005-0000-0000-000005000000}"/>
    <cellStyle name="Comma 2 2" xfId="7" xr:uid="{00000000-0005-0000-0000-000006000000}"/>
    <cellStyle name="Comma 3" xfId="8" xr:uid="{00000000-0005-0000-0000-000007000000}"/>
    <cellStyle name="Comma 53" xfId="9" xr:uid="{00000000-0005-0000-0000-000008000000}"/>
    <cellStyle name="Comma 99" xfId="10" xr:uid="{00000000-0005-0000-0000-000009000000}"/>
    <cellStyle name="Normal" xfId="0" builtinId="0"/>
    <cellStyle name="Normal 2" xfId="11" xr:uid="{00000000-0005-0000-0000-00000B000000}"/>
    <cellStyle name="Normal 3" xfId="12" xr:uid="{00000000-0005-0000-0000-00000C000000}"/>
    <cellStyle name="Normal 41" xfId="13" xr:uid="{00000000-0005-0000-0000-00000D000000}"/>
    <cellStyle name="Normal 7" xfId="14" xr:uid="{00000000-0005-0000-0000-00000E000000}"/>
    <cellStyle name="Normal 9" xfId="15" xr:uid="{00000000-0005-0000-0000-00000F000000}"/>
    <cellStyle name="Normal 96" xfId="16" xr:uid="{00000000-0005-0000-0000-000010000000}"/>
    <cellStyle name="Normal 98" xfId="17" xr:uid="{00000000-0005-0000-0000-000011000000}"/>
    <cellStyle name="Normal 99" xfId="18" xr:uid="{00000000-0005-0000-0000-000012000000}"/>
    <cellStyle name="Percent" xfId="19" builtinId="5"/>
    <cellStyle name="Percent 2" xfId="20" xr:uid="{00000000-0005-0000-0000-000014000000}"/>
    <cellStyle name="UnitValuation" xfId="21" xr:uid="{00000000-0005-0000-0000-000015000000}"/>
    <cellStyle name="一般 2" xfId="22" xr:uid="{00000000-0005-0000-0000-000016000000}"/>
    <cellStyle name="千分位 2" xfId="23" xr:uid="{00000000-0005-0000-0000-000017000000}"/>
    <cellStyle name="壞_C) P&amp;L notes" xfId="24" xr:uid="{00000000-0005-0000-0000-000018000000}"/>
    <cellStyle name="壞_C) P&amp;L notes 1" xfId="25" xr:uid="{00000000-0005-0000-0000-000019000000}"/>
    <cellStyle name="好_C) P&amp;L notes" xfId="26" xr:uid="{00000000-0005-0000-0000-00001A000000}"/>
    <cellStyle name="好_C) P&amp;L notes 1" xfId="27" xr:uid="{00000000-0005-0000-0000-00001B000000}"/>
    <cellStyle name="桁区切り [0.00] 11" xfId="28" xr:uid="{00000000-0005-0000-0000-00001C000000}"/>
    <cellStyle name="標準 2 9" xfId="29" xr:uid="{00000000-0005-0000-0000-00001D000000}"/>
    <cellStyle name="百分比 2" xfId="30" xr:uid="{00000000-0005-0000-0000-00001E000000}"/>
  </cellStyles>
  <dxfs count="12">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29</xdr:col>
      <xdr:colOff>375466</xdr:colOff>
      <xdr:row>60</xdr:row>
      <xdr:rowOff>0</xdr:rowOff>
    </xdr:from>
    <xdr:to>
      <xdr:col>38</xdr:col>
      <xdr:colOff>394996</xdr:colOff>
      <xdr:row>76</xdr:row>
      <xdr:rowOff>539241</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65351206" y="41704260"/>
          <a:ext cx="5662137" cy="9452079"/>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1435253</xdr:colOff>
      <xdr:row>118</xdr:row>
      <xdr:rowOff>114300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5623540" y="60365640"/>
          <a:ext cx="12227554" cy="5692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727710</xdr:colOff>
      <xdr:row>102</xdr:row>
      <xdr:rowOff>38100</xdr:rowOff>
    </xdr:from>
    <xdr:to>
      <xdr:col>19</xdr:col>
      <xdr:colOff>1390665</xdr:colOff>
      <xdr:row>119</xdr:row>
      <xdr:rowOff>2629</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9027120" y="60365640"/>
          <a:ext cx="12014197" cy="5806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404495</xdr:colOff>
      <xdr:row>102</xdr:row>
      <xdr:rowOff>0</xdr:rowOff>
    </xdr:from>
    <xdr:to>
      <xdr:col>26</xdr:col>
      <xdr:colOff>6503</xdr:colOff>
      <xdr:row>119</xdr:row>
      <xdr:rowOff>2629</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41935400" y="60327540"/>
          <a:ext cx="11112498" cy="5920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63547171" y="421195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5189200" y="6096000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8219400" y="6096000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40782875" y="6092190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63547171" y="421195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5189200" y="6098857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28219400" y="6098857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40782875" y="6095047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63547171" y="421195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15189200" y="6098857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28219400" y="6098857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40782875" y="6095047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18" name="Rectangle 17">
          <a:extLst>
            <a:ext uri="{FF2B5EF4-FFF2-40B4-BE49-F238E27FC236}">
              <a16:creationId xmlns:a16="http://schemas.microsoft.com/office/drawing/2014/main" id="{00000000-0008-0000-0200-000012000000}"/>
            </a:ext>
          </a:extLst>
        </xdr:cNvPr>
        <xdr:cNvSpPr/>
      </xdr:nvSpPr>
      <xdr:spPr>
        <a:xfrm>
          <a:off x="64099621" y="421195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5189200" y="60998100"/>
          <a:ext cx="1244282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28771850" y="6099810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41335325" y="6096000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22" name="Rectangle 21">
          <a:extLst>
            <a:ext uri="{FF2B5EF4-FFF2-40B4-BE49-F238E27FC236}">
              <a16:creationId xmlns:a16="http://schemas.microsoft.com/office/drawing/2014/main" id="{00000000-0008-0000-0200-000016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5189200" y="6153150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28219400" y="6153150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40782875" y="6149340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26" name="Rectangle 25">
          <a:extLst>
            <a:ext uri="{FF2B5EF4-FFF2-40B4-BE49-F238E27FC236}">
              <a16:creationId xmlns:a16="http://schemas.microsoft.com/office/drawing/2014/main" id="{00000000-0008-0000-0200-00001A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5189200" y="6128385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28219400" y="612838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40782875" y="612457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15189200" y="6112192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28219400" y="611219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40782875" y="610838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34" name="Rectangle 33">
          <a:extLst>
            <a:ext uri="{FF2B5EF4-FFF2-40B4-BE49-F238E27FC236}">
              <a16:creationId xmlns:a16="http://schemas.microsoft.com/office/drawing/2014/main" id="{00000000-0008-0000-0200-000022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15189200" y="6135052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28219400" y="613505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40782875" y="613124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38" name="Rectangle 37">
          <a:extLst>
            <a:ext uri="{FF2B5EF4-FFF2-40B4-BE49-F238E27FC236}">
              <a16:creationId xmlns:a16="http://schemas.microsoft.com/office/drawing/2014/main" id="{00000000-0008-0000-0200-000026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15189200" y="6090285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28219400" y="609028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40782875" y="608647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46" name="Rectangle 45">
          <a:extLst>
            <a:ext uri="{FF2B5EF4-FFF2-40B4-BE49-F238E27FC236}">
              <a16:creationId xmlns:a16="http://schemas.microsoft.com/office/drawing/2014/main" id="{00000000-0008-0000-0200-00002E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15189200" y="6093142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28219400" y="609314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40782875" y="608933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50" name="Rectangle 49">
          <a:extLst>
            <a:ext uri="{FF2B5EF4-FFF2-40B4-BE49-F238E27FC236}">
              <a16:creationId xmlns:a16="http://schemas.microsoft.com/office/drawing/2014/main" id="{00000000-0008-0000-0200-000032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15189200" y="6147435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Manager</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52" name="TextBox 51">
          <a:extLst>
            <a:ext uri="{FF2B5EF4-FFF2-40B4-BE49-F238E27FC236}">
              <a16:creationId xmlns:a16="http://schemas.microsoft.com/office/drawing/2014/main" id="{00000000-0008-0000-0200-000034000000}"/>
            </a:ext>
          </a:extLst>
        </xdr:cNvPr>
        <xdr:cNvSpPr txBox="1"/>
      </xdr:nvSpPr>
      <xdr:spPr>
        <a:xfrm>
          <a:off x="28219400" y="614743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53" name="TextBox 52">
          <a:extLst>
            <a:ext uri="{FF2B5EF4-FFF2-40B4-BE49-F238E27FC236}">
              <a16:creationId xmlns:a16="http://schemas.microsoft.com/office/drawing/2014/main" id="{00000000-0008-0000-0200-000035000000}"/>
            </a:ext>
          </a:extLst>
        </xdr:cNvPr>
        <xdr:cNvSpPr txBox="1"/>
      </xdr:nvSpPr>
      <xdr:spPr>
        <a:xfrm>
          <a:off x="40782875" y="614362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54" name="Rectangle 53">
          <a:extLst>
            <a:ext uri="{FF2B5EF4-FFF2-40B4-BE49-F238E27FC236}">
              <a16:creationId xmlns:a16="http://schemas.microsoft.com/office/drawing/2014/main" id="{00000000-0008-0000-0200-000036000000}"/>
            </a:ext>
          </a:extLst>
        </xdr:cNvPr>
        <xdr:cNvSpPr/>
      </xdr:nvSpPr>
      <xdr:spPr>
        <a:xfrm>
          <a:off x="63880546"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5189200" y="61502925"/>
          <a:ext cx="1222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28552775" y="615029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41116250" y="614648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62" name="Rectangle 61">
          <a:extLst>
            <a:ext uri="{FF2B5EF4-FFF2-40B4-BE49-F238E27FC236}">
              <a16:creationId xmlns:a16="http://schemas.microsoft.com/office/drawing/2014/main" id="{00000000-0008-0000-0200-00003E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5189200" y="6150292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a:t>
          </a:r>
          <a:r>
            <a:rPr lang="en-US" sz="5000" baseline="0"/>
            <a:t> </a:t>
          </a:r>
          <a:endParaRPr lang="en-US" sz="5000"/>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28219400" y="615029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40782875" y="614648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10</xdr:col>
      <xdr:colOff>0</xdr:colOff>
      <xdr:row>103</xdr:row>
      <xdr:rowOff>0</xdr:rowOff>
    </xdr:from>
    <xdr:to>
      <xdr:col>16</xdr:col>
      <xdr:colOff>580971</xdr:colOff>
      <xdr:row>116</xdr:row>
      <xdr:rowOff>19059</xdr:rowOff>
    </xdr:to>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22250400" y="50215800"/>
          <a:ext cx="11614150" cy="468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300"/>
            </a:lnSpc>
          </a:pPr>
          <a:r>
            <a:rPr lang="en-US" sz="5000"/>
            <a:t>Reviewed</a:t>
          </a:r>
          <a:r>
            <a:rPr lang="en-US" sz="5000" baseline="0"/>
            <a:t> </a:t>
          </a:r>
          <a:r>
            <a:rPr lang="en-US" sz="5000"/>
            <a:t>by:</a:t>
          </a:r>
        </a:p>
        <a:p>
          <a:pPr>
            <a:lnSpc>
              <a:spcPts val="5200"/>
            </a:lnSpc>
          </a:pPr>
          <a:endParaRPr lang="en-US" sz="5000"/>
        </a:p>
        <a:p>
          <a:pPr>
            <a:lnSpc>
              <a:spcPts val="5300"/>
            </a:lnSpc>
          </a:pPr>
          <a:endParaRPr lang="en-US" sz="5000"/>
        </a:p>
        <a:p>
          <a:pPr>
            <a:lnSpc>
              <a:spcPts val="5100"/>
            </a:lnSpc>
          </a:pPr>
          <a:r>
            <a:rPr lang="en-US" sz="5000"/>
            <a:t>_______________________________</a:t>
          </a:r>
        </a:p>
        <a:p>
          <a:pPr>
            <a:lnSpc>
              <a:spcPts val="5300"/>
            </a:lnSpc>
          </a:pPr>
          <a:r>
            <a:rPr lang="en-US" sz="5000"/>
            <a:t>Manager</a:t>
          </a:r>
        </a:p>
        <a:p>
          <a:pPr>
            <a:lnSpc>
              <a:spcPts val="5100"/>
            </a:lnSpc>
          </a:pPr>
          <a:r>
            <a:rPr lang="en-US" sz="5000"/>
            <a:t>Accounting</a:t>
          </a:r>
          <a:r>
            <a:rPr lang="en-US" sz="5000" baseline="0"/>
            <a:t> Department</a:t>
          </a:r>
          <a:endParaRPr lang="en-US" sz="5000"/>
        </a:p>
        <a:p>
          <a:pPr>
            <a:lnSpc>
              <a:spcPts val="5300"/>
            </a:lnSpc>
          </a:pPr>
          <a:endParaRPr lang="en-US" sz="5000"/>
        </a:p>
        <a:p>
          <a:pPr>
            <a:lnSpc>
              <a:spcPts val="1200"/>
            </a:lnSpc>
          </a:pPr>
          <a:endParaRPr lang="en-US" sz="1100"/>
        </a:p>
      </xdr:txBody>
    </xdr:sp>
    <xdr:clientData/>
  </xdr:twoCellAnchor>
  <xdr:twoCellAnchor>
    <xdr:from>
      <xdr:col>7</xdr:col>
      <xdr:colOff>2419350</xdr:colOff>
      <xdr:row>103</xdr:row>
      <xdr:rowOff>25400</xdr:rowOff>
    </xdr:from>
    <xdr:to>
      <xdr:col>9</xdr:col>
      <xdr:colOff>1126820</xdr:colOff>
      <xdr:row>116</xdr:row>
      <xdr:rowOff>57150</xdr:rowOff>
    </xdr:to>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9886950" y="50241200"/>
          <a:ext cx="11642725" cy="468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4600"/>
            </a:lnSpc>
          </a:pPr>
          <a:r>
            <a:rPr lang="en-US" sz="5000"/>
            <a:t>Prepared by:</a:t>
          </a:r>
        </a:p>
        <a:p>
          <a:pPr>
            <a:lnSpc>
              <a:spcPts val="4600"/>
            </a:lnSpc>
          </a:pPr>
          <a:endParaRPr lang="en-US" sz="5000"/>
        </a:p>
        <a:p>
          <a:pPr>
            <a:lnSpc>
              <a:spcPts val="4600"/>
            </a:lnSpc>
          </a:pPr>
          <a:endParaRPr lang="en-US" sz="5000"/>
        </a:p>
        <a:p>
          <a:pPr>
            <a:lnSpc>
              <a:spcPts val="4600"/>
            </a:lnSpc>
          </a:pPr>
          <a:r>
            <a:rPr lang="en-US" sz="5000"/>
            <a:t>_______________________________</a:t>
          </a:r>
        </a:p>
        <a:p>
          <a:pPr>
            <a:lnSpc>
              <a:spcPts val="4600"/>
            </a:lnSpc>
          </a:pPr>
          <a:r>
            <a:rPr lang="en-US" sz="5000"/>
            <a:t>Assistant</a:t>
          </a:r>
          <a:r>
            <a:rPr lang="en-US" sz="5000" baseline="0"/>
            <a:t> Manager</a:t>
          </a:r>
        </a:p>
        <a:p>
          <a:pPr>
            <a:lnSpc>
              <a:spcPts val="4700"/>
            </a:lnSpc>
          </a:pPr>
          <a:r>
            <a:rPr lang="en-US" sz="5000"/>
            <a:t>Accounting</a:t>
          </a:r>
          <a:r>
            <a:rPr lang="en-US" sz="5000" baseline="0"/>
            <a:t> Department</a:t>
          </a:r>
          <a:endParaRPr lang="en-US" sz="5000"/>
        </a:p>
        <a:p>
          <a:pPr>
            <a:lnSpc>
              <a:spcPts val="4500"/>
            </a:lnSpc>
          </a:pPr>
          <a:endParaRPr lang="en-US" sz="5000"/>
        </a:p>
        <a:p>
          <a:pPr>
            <a:lnSpc>
              <a:spcPts val="1000"/>
            </a:lnSpc>
          </a:pPr>
          <a:endParaRPr lang="en-US" sz="1100"/>
        </a:p>
      </xdr:txBody>
    </xdr:sp>
    <xdr:clientData/>
  </xdr:twoCellAnchor>
  <xdr:twoCellAnchor>
    <xdr:from>
      <xdr:col>16</xdr:col>
      <xdr:colOff>1492250</xdr:colOff>
      <xdr:row>103</xdr:row>
      <xdr:rowOff>57150</xdr:rowOff>
    </xdr:from>
    <xdr:to>
      <xdr:col>23</xdr:col>
      <xdr:colOff>38041</xdr:colOff>
      <xdr:row>116</xdr:row>
      <xdr:rowOff>76209</xdr:rowOff>
    </xdr:to>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34766250" y="50272950"/>
          <a:ext cx="11610975" cy="468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a:t>
          </a:r>
          <a:r>
            <a:rPr lang="en-US" sz="5000" baseline="0"/>
            <a:t> Manager</a:t>
          </a:r>
          <a:endParaRPr lang="en-US" sz="5000"/>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61" name="Rectangle 60">
          <a:extLst>
            <a:ext uri="{FF2B5EF4-FFF2-40B4-BE49-F238E27FC236}">
              <a16:creationId xmlns:a16="http://schemas.microsoft.com/office/drawing/2014/main" id="{00000000-0008-0000-0200-00003D000000}"/>
            </a:ext>
          </a:extLst>
        </xdr:cNvPr>
        <xdr:cNvSpPr/>
      </xdr:nvSpPr>
      <xdr:spPr>
        <a:xfrm>
          <a:off x="601943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66" name="TextBox 65">
          <a:extLst>
            <a:ext uri="{FF2B5EF4-FFF2-40B4-BE49-F238E27FC236}">
              <a16:creationId xmlns:a16="http://schemas.microsoft.com/office/drawing/2014/main" id="{00000000-0008-0000-0200-000042000000}"/>
            </a:ext>
          </a:extLst>
        </xdr:cNvPr>
        <xdr:cNvSpPr txBox="1"/>
      </xdr:nvSpPr>
      <xdr:spPr>
        <a:xfrm>
          <a:off x="15189200" y="61531500"/>
          <a:ext cx="8537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 Manager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67" name="TextBox 66">
          <a:extLst>
            <a:ext uri="{FF2B5EF4-FFF2-40B4-BE49-F238E27FC236}">
              <a16:creationId xmlns:a16="http://schemas.microsoft.com/office/drawing/2014/main" id="{00000000-0008-0000-0200-000043000000}"/>
            </a:ext>
          </a:extLst>
        </xdr:cNvPr>
        <xdr:cNvSpPr txBox="1"/>
      </xdr:nvSpPr>
      <xdr:spPr>
        <a:xfrm>
          <a:off x="24866600" y="6153150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68" name="TextBox 67">
          <a:extLst>
            <a:ext uri="{FF2B5EF4-FFF2-40B4-BE49-F238E27FC236}">
              <a16:creationId xmlns:a16="http://schemas.microsoft.com/office/drawing/2014/main" id="{00000000-0008-0000-0200-000044000000}"/>
            </a:ext>
          </a:extLst>
        </xdr:cNvPr>
        <xdr:cNvSpPr txBox="1"/>
      </xdr:nvSpPr>
      <xdr:spPr>
        <a:xfrm>
          <a:off x="37430075" y="6149340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69" name="Rectangle 68">
          <a:extLst>
            <a:ext uri="{FF2B5EF4-FFF2-40B4-BE49-F238E27FC236}">
              <a16:creationId xmlns:a16="http://schemas.microsoft.com/office/drawing/2014/main" id="{00000000-0008-0000-0200-000045000000}"/>
            </a:ext>
          </a:extLst>
        </xdr:cNvPr>
        <xdr:cNvSpPr/>
      </xdr:nvSpPr>
      <xdr:spPr>
        <a:xfrm>
          <a:off x="63547171"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70" name="TextBox 69">
          <a:extLst>
            <a:ext uri="{FF2B5EF4-FFF2-40B4-BE49-F238E27FC236}">
              <a16:creationId xmlns:a16="http://schemas.microsoft.com/office/drawing/2014/main" id="{00000000-0008-0000-0200-000046000000}"/>
            </a:ext>
          </a:extLst>
        </xdr:cNvPr>
        <xdr:cNvSpPr txBox="1"/>
      </xdr:nvSpPr>
      <xdr:spPr>
        <a:xfrm>
          <a:off x="15189200" y="6162675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 Manager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28219400" y="61626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40782875" y="61588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73" name="Rectangle 72">
          <a:extLst>
            <a:ext uri="{FF2B5EF4-FFF2-40B4-BE49-F238E27FC236}">
              <a16:creationId xmlns:a16="http://schemas.microsoft.com/office/drawing/2014/main" id="{00000000-0008-0000-0200-000049000000}"/>
            </a:ext>
          </a:extLst>
        </xdr:cNvPr>
        <xdr:cNvSpPr/>
      </xdr:nvSpPr>
      <xdr:spPr>
        <a:xfrm>
          <a:off x="56946346"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74" name="TextBox 73">
          <a:extLst>
            <a:ext uri="{FF2B5EF4-FFF2-40B4-BE49-F238E27FC236}">
              <a16:creationId xmlns:a16="http://schemas.microsoft.com/office/drawing/2014/main" id="{00000000-0008-0000-0200-00004A000000}"/>
            </a:ext>
          </a:extLst>
        </xdr:cNvPr>
        <xdr:cNvSpPr txBox="1"/>
      </xdr:nvSpPr>
      <xdr:spPr>
        <a:xfrm>
          <a:off x="13335000" y="6176010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 Manager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75" name="TextBox 74">
          <a:extLst>
            <a:ext uri="{FF2B5EF4-FFF2-40B4-BE49-F238E27FC236}">
              <a16:creationId xmlns:a16="http://schemas.microsoft.com/office/drawing/2014/main" id="{00000000-0008-0000-0200-00004B000000}"/>
            </a:ext>
          </a:extLst>
        </xdr:cNvPr>
        <xdr:cNvSpPr txBox="1"/>
      </xdr:nvSpPr>
      <xdr:spPr>
        <a:xfrm>
          <a:off x="21618575" y="6176010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76" name="TextBox 75">
          <a:extLst>
            <a:ext uri="{FF2B5EF4-FFF2-40B4-BE49-F238E27FC236}">
              <a16:creationId xmlns:a16="http://schemas.microsoft.com/office/drawing/2014/main" id="{00000000-0008-0000-0200-00004C000000}"/>
            </a:ext>
          </a:extLst>
        </xdr:cNvPr>
        <xdr:cNvSpPr txBox="1"/>
      </xdr:nvSpPr>
      <xdr:spPr>
        <a:xfrm>
          <a:off x="34182050" y="6172200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77" name="Rectangle 76">
          <a:extLst>
            <a:ext uri="{FF2B5EF4-FFF2-40B4-BE49-F238E27FC236}">
              <a16:creationId xmlns:a16="http://schemas.microsoft.com/office/drawing/2014/main" id="{00000000-0008-0000-0200-00004D000000}"/>
            </a:ext>
          </a:extLst>
        </xdr:cNvPr>
        <xdr:cNvSpPr/>
      </xdr:nvSpPr>
      <xdr:spPr>
        <a:xfrm>
          <a:off x="56946346" y="4231005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78" name="TextBox 77">
          <a:extLst>
            <a:ext uri="{FF2B5EF4-FFF2-40B4-BE49-F238E27FC236}">
              <a16:creationId xmlns:a16="http://schemas.microsoft.com/office/drawing/2014/main" id="{00000000-0008-0000-0200-00004E000000}"/>
            </a:ext>
          </a:extLst>
        </xdr:cNvPr>
        <xdr:cNvSpPr txBox="1"/>
      </xdr:nvSpPr>
      <xdr:spPr>
        <a:xfrm>
          <a:off x="13335000" y="61598175"/>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Assistant Manager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79" name="TextBox 78">
          <a:extLst>
            <a:ext uri="{FF2B5EF4-FFF2-40B4-BE49-F238E27FC236}">
              <a16:creationId xmlns:a16="http://schemas.microsoft.com/office/drawing/2014/main" id="{00000000-0008-0000-0200-00004F000000}"/>
            </a:ext>
          </a:extLst>
        </xdr:cNvPr>
        <xdr:cNvSpPr txBox="1"/>
      </xdr:nvSpPr>
      <xdr:spPr>
        <a:xfrm>
          <a:off x="21618575" y="6159817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80" name="TextBox 79">
          <a:extLst>
            <a:ext uri="{FF2B5EF4-FFF2-40B4-BE49-F238E27FC236}">
              <a16:creationId xmlns:a16="http://schemas.microsoft.com/office/drawing/2014/main" id="{00000000-0008-0000-0200-000050000000}"/>
            </a:ext>
          </a:extLst>
        </xdr:cNvPr>
        <xdr:cNvSpPr txBox="1"/>
      </xdr:nvSpPr>
      <xdr:spPr>
        <a:xfrm>
          <a:off x="34182050" y="6156007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81" name="Rectangle 80">
          <a:extLst>
            <a:ext uri="{FF2B5EF4-FFF2-40B4-BE49-F238E27FC236}">
              <a16:creationId xmlns:a16="http://schemas.microsoft.com/office/drawing/2014/main" id="{00000000-0008-0000-0200-000051000000}"/>
            </a:ext>
          </a:extLst>
        </xdr:cNvPr>
        <xdr:cNvSpPr/>
      </xdr:nvSpPr>
      <xdr:spPr>
        <a:xfrm>
          <a:off x="56946346" y="4335780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82" name="TextBox 81">
          <a:extLst>
            <a:ext uri="{FF2B5EF4-FFF2-40B4-BE49-F238E27FC236}">
              <a16:creationId xmlns:a16="http://schemas.microsoft.com/office/drawing/2014/main" id="{00000000-0008-0000-0200-000052000000}"/>
            </a:ext>
          </a:extLst>
        </xdr:cNvPr>
        <xdr:cNvSpPr txBox="1"/>
      </xdr:nvSpPr>
      <xdr:spPr>
        <a:xfrm>
          <a:off x="13335000" y="62493525"/>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Manager</a:t>
          </a:r>
        </a:p>
        <a:p>
          <a:pPr>
            <a:lnSpc>
              <a:spcPts val="5600"/>
            </a:lnSpc>
          </a:pP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83" name="TextBox 82">
          <a:extLst>
            <a:ext uri="{FF2B5EF4-FFF2-40B4-BE49-F238E27FC236}">
              <a16:creationId xmlns:a16="http://schemas.microsoft.com/office/drawing/2014/main" id="{00000000-0008-0000-0200-000053000000}"/>
            </a:ext>
          </a:extLst>
        </xdr:cNvPr>
        <xdr:cNvSpPr txBox="1"/>
      </xdr:nvSpPr>
      <xdr:spPr>
        <a:xfrm>
          <a:off x="21618575" y="624935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84" name="TextBox 83">
          <a:extLst>
            <a:ext uri="{FF2B5EF4-FFF2-40B4-BE49-F238E27FC236}">
              <a16:creationId xmlns:a16="http://schemas.microsoft.com/office/drawing/2014/main" id="{00000000-0008-0000-0200-000054000000}"/>
            </a:ext>
          </a:extLst>
        </xdr:cNvPr>
        <xdr:cNvSpPr txBox="1"/>
      </xdr:nvSpPr>
      <xdr:spPr>
        <a:xfrm>
          <a:off x="34182050" y="624554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85" name="Rectangle 84">
          <a:extLst>
            <a:ext uri="{FF2B5EF4-FFF2-40B4-BE49-F238E27FC236}">
              <a16:creationId xmlns:a16="http://schemas.microsoft.com/office/drawing/2014/main" id="{00000000-0008-0000-0200-000055000000}"/>
            </a:ext>
          </a:extLst>
        </xdr:cNvPr>
        <xdr:cNvSpPr/>
      </xdr:nvSpPr>
      <xdr:spPr>
        <a:xfrm>
          <a:off x="63547171" y="4335780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86" name="TextBox 85">
          <a:extLst>
            <a:ext uri="{FF2B5EF4-FFF2-40B4-BE49-F238E27FC236}">
              <a16:creationId xmlns:a16="http://schemas.microsoft.com/office/drawing/2014/main" id="{00000000-0008-0000-0200-000056000000}"/>
            </a:ext>
          </a:extLst>
        </xdr:cNvPr>
        <xdr:cNvSpPr txBox="1"/>
      </xdr:nvSpPr>
      <xdr:spPr>
        <a:xfrm>
          <a:off x="15189200" y="62645925"/>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87" name="TextBox 86">
          <a:extLst>
            <a:ext uri="{FF2B5EF4-FFF2-40B4-BE49-F238E27FC236}">
              <a16:creationId xmlns:a16="http://schemas.microsoft.com/office/drawing/2014/main" id="{00000000-0008-0000-0200-000057000000}"/>
            </a:ext>
          </a:extLst>
        </xdr:cNvPr>
        <xdr:cNvSpPr txBox="1"/>
      </xdr:nvSpPr>
      <xdr:spPr>
        <a:xfrm>
          <a:off x="28219400" y="62645925"/>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Acting</a:t>
          </a:r>
          <a:r>
            <a:rPr lang="en-US" sz="5000" baseline="0"/>
            <a:t> </a:t>
          </a:r>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88" name="TextBox 87">
          <a:extLst>
            <a:ext uri="{FF2B5EF4-FFF2-40B4-BE49-F238E27FC236}">
              <a16:creationId xmlns:a16="http://schemas.microsoft.com/office/drawing/2014/main" id="{00000000-0008-0000-0200-000058000000}"/>
            </a:ext>
          </a:extLst>
        </xdr:cNvPr>
        <xdr:cNvSpPr txBox="1"/>
      </xdr:nvSpPr>
      <xdr:spPr>
        <a:xfrm>
          <a:off x="40782875" y="62607825"/>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Acting</a:t>
          </a:r>
          <a:r>
            <a:rPr lang="en-US" sz="5000" baseline="0"/>
            <a:t> </a:t>
          </a:r>
          <a:r>
            <a:rPr lang="en-US" sz="5000"/>
            <a:t>Deputy General Manager</a:t>
          </a:r>
        </a:p>
        <a:p>
          <a:endParaRPr lang="en-US" sz="5000"/>
        </a:p>
        <a:p>
          <a:endParaRPr lang="en-US" sz="1100"/>
        </a:p>
      </xdr:txBody>
    </xdr:sp>
    <xdr:clientData/>
  </xdr:twoCellAnchor>
  <xdr:twoCellAnchor>
    <xdr:from>
      <xdr:col>29</xdr:col>
      <xdr:colOff>377371</xdr:colOff>
      <xdr:row>60</xdr:row>
      <xdr:rowOff>0</xdr:rowOff>
    </xdr:from>
    <xdr:to>
      <xdr:col>38</xdr:col>
      <xdr:colOff>396913</xdr:colOff>
      <xdr:row>76</xdr:row>
      <xdr:rowOff>541088</xdr:rowOff>
    </xdr:to>
    <xdr:sp macro="" textlink="">
      <xdr:nvSpPr>
        <xdr:cNvPr id="89" name="Rectangle 88">
          <a:extLst>
            <a:ext uri="{FF2B5EF4-FFF2-40B4-BE49-F238E27FC236}">
              <a16:creationId xmlns:a16="http://schemas.microsoft.com/office/drawing/2014/main" id="{00000000-0008-0000-0200-000059000000}"/>
            </a:ext>
          </a:extLst>
        </xdr:cNvPr>
        <xdr:cNvSpPr/>
      </xdr:nvSpPr>
      <xdr:spPr>
        <a:xfrm>
          <a:off x="63547171" y="43357800"/>
          <a:ext cx="5524977" cy="9716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lnSpc>
              <a:spcPts val="4300"/>
            </a:lnSpc>
          </a:pPr>
          <a:r>
            <a:rPr lang="en-US" sz="4400"/>
            <a:t>Harap</a:t>
          </a:r>
          <a:r>
            <a:rPr lang="en-US" sz="4400" baseline="0"/>
            <a:t> menambahkan keterangan / penjelasan apabila terdapat asumsi tertentu yang dipergunakan dalam mengisi form rekening administratif di samping</a:t>
          </a:r>
          <a:endParaRPr lang="en-US" sz="44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90" name="TextBox 89">
          <a:extLst>
            <a:ext uri="{FF2B5EF4-FFF2-40B4-BE49-F238E27FC236}">
              <a16:creationId xmlns:a16="http://schemas.microsoft.com/office/drawing/2014/main" id="{00000000-0008-0000-0200-00005A000000}"/>
            </a:ext>
          </a:extLst>
        </xdr:cNvPr>
        <xdr:cNvSpPr txBox="1"/>
      </xdr:nvSpPr>
      <xdr:spPr>
        <a:xfrm>
          <a:off x="15189200" y="62503050"/>
          <a:ext cx="118903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91" name="TextBox 90">
          <a:extLst>
            <a:ext uri="{FF2B5EF4-FFF2-40B4-BE49-F238E27FC236}">
              <a16:creationId xmlns:a16="http://schemas.microsoft.com/office/drawing/2014/main" id="{00000000-0008-0000-0200-00005B000000}"/>
            </a:ext>
          </a:extLst>
        </xdr:cNvPr>
        <xdr:cNvSpPr txBox="1"/>
      </xdr:nvSpPr>
      <xdr:spPr>
        <a:xfrm>
          <a:off x="28219400" y="625030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92" name="TextBox 91">
          <a:extLst>
            <a:ext uri="{FF2B5EF4-FFF2-40B4-BE49-F238E27FC236}">
              <a16:creationId xmlns:a16="http://schemas.microsoft.com/office/drawing/2014/main" id="{00000000-0008-0000-0200-00005C000000}"/>
            </a:ext>
          </a:extLst>
        </xdr:cNvPr>
        <xdr:cNvSpPr txBox="1"/>
      </xdr:nvSpPr>
      <xdr:spPr>
        <a:xfrm>
          <a:off x="40782875" y="624649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93" name="TextBox 92">
          <a:extLst>
            <a:ext uri="{FF2B5EF4-FFF2-40B4-BE49-F238E27FC236}">
              <a16:creationId xmlns:a16="http://schemas.microsoft.com/office/drawing/2014/main" id="{00000000-0008-0000-0200-00005D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94" name="TextBox 93">
          <a:extLst>
            <a:ext uri="{FF2B5EF4-FFF2-40B4-BE49-F238E27FC236}">
              <a16:creationId xmlns:a16="http://schemas.microsoft.com/office/drawing/2014/main" id="{00000000-0008-0000-0200-00005E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95" name="TextBox 94">
          <a:extLst>
            <a:ext uri="{FF2B5EF4-FFF2-40B4-BE49-F238E27FC236}">
              <a16:creationId xmlns:a16="http://schemas.microsoft.com/office/drawing/2014/main" id="{00000000-0008-0000-0200-00005F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96" name="TextBox 95">
          <a:extLst>
            <a:ext uri="{FF2B5EF4-FFF2-40B4-BE49-F238E27FC236}">
              <a16:creationId xmlns:a16="http://schemas.microsoft.com/office/drawing/2014/main" id="{00000000-0008-0000-0200-000060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97" name="TextBox 96">
          <a:extLst>
            <a:ext uri="{FF2B5EF4-FFF2-40B4-BE49-F238E27FC236}">
              <a16:creationId xmlns:a16="http://schemas.microsoft.com/office/drawing/2014/main" id="{00000000-0008-0000-0200-000061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98" name="TextBox 97">
          <a:extLst>
            <a:ext uri="{FF2B5EF4-FFF2-40B4-BE49-F238E27FC236}">
              <a16:creationId xmlns:a16="http://schemas.microsoft.com/office/drawing/2014/main" id="{00000000-0008-0000-0200-000062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99" name="TextBox 98">
          <a:extLst>
            <a:ext uri="{FF2B5EF4-FFF2-40B4-BE49-F238E27FC236}">
              <a16:creationId xmlns:a16="http://schemas.microsoft.com/office/drawing/2014/main" id="{00000000-0008-0000-0200-000063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00" name="TextBox 99">
          <a:extLst>
            <a:ext uri="{FF2B5EF4-FFF2-40B4-BE49-F238E27FC236}">
              <a16:creationId xmlns:a16="http://schemas.microsoft.com/office/drawing/2014/main" id="{00000000-0008-0000-0200-000064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01" name="TextBox 100">
          <a:extLst>
            <a:ext uri="{FF2B5EF4-FFF2-40B4-BE49-F238E27FC236}">
              <a16:creationId xmlns:a16="http://schemas.microsoft.com/office/drawing/2014/main" id="{00000000-0008-0000-0200-000065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02" name="TextBox 101">
          <a:extLst>
            <a:ext uri="{FF2B5EF4-FFF2-40B4-BE49-F238E27FC236}">
              <a16:creationId xmlns:a16="http://schemas.microsoft.com/office/drawing/2014/main" id="{00000000-0008-0000-0200-000066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03" name="TextBox 102">
          <a:extLst>
            <a:ext uri="{FF2B5EF4-FFF2-40B4-BE49-F238E27FC236}">
              <a16:creationId xmlns:a16="http://schemas.microsoft.com/office/drawing/2014/main" id="{00000000-0008-0000-0200-000067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04" name="TextBox 103">
          <a:extLst>
            <a:ext uri="{FF2B5EF4-FFF2-40B4-BE49-F238E27FC236}">
              <a16:creationId xmlns:a16="http://schemas.microsoft.com/office/drawing/2014/main" id="{00000000-0008-0000-0200-000068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05" name="TextBox 104">
          <a:extLst>
            <a:ext uri="{FF2B5EF4-FFF2-40B4-BE49-F238E27FC236}">
              <a16:creationId xmlns:a16="http://schemas.microsoft.com/office/drawing/2014/main" id="{00000000-0008-0000-0200-000069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06" name="TextBox 105">
          <a:extLst>
            <a:ext uri="{FF2B5EF4-FFF2-40B4-BE49-F238E27FC236}">
              <a16:creationId xmlns:a16="http://schemas.microsoft.com/office/drawing/2014/main" id="{00000000-0008-0000-0200-00006A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07" name="TextBox 106">
          <a:extLst>
            <a:ext uri="{FF2B5EF4-FFF2-40B4-BE49-F238E27FC236}">
              <a16:creationId xmlns:a16="http://schemas.microsoft.com/office/drawing/2014/main" id="{00000000-0008-0000-0200-00006B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08" name="TextBox 107">
          <a:extLst>
            <a:ext uri="{FF2B5EF4-FFF2-40B4-BE49-F238E27FC236}">
              <a16:creationId xmlns:a16="http://schemas.microsoft.com/office/drawing/2014/main" id="{00000000-0008-0000-0200-00006C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09" name="TextBox 108">
          <a:extLst>
            <a:ext uri="{FF2B5EF4-FFF2-40B4-BE49-F238E27FC236}">
              <a16:creationId xmlns:a16="http://schemas.microsoft.com/office/drawing/2014/main" id="{00000000-0008-0000-0200-00006D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10" name="TextBox 109">
          <a:extLst>
            <a:ext uri="{FF2B5EF4-FFF2-40B4-BE49-F238E27FC236}">
              <a16:creationId xmlns:a16="http://schemas.microsoft.com/office/drawing/2014/main" id="{00000000-0008-0000-0200-00006E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11" name="TextBox 110">
          <a:extLst>
            <a:ext uri="{FF2B5EF4-FFF2-40B4-BE49-F238E27FC236}">
              <a16:creationId xmlns:a16="http://schemas.microsoft.com/office/drawing/2014/main" id="{00000000-0008-0000-0200-00006F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12" name="TextBox 111">
          <a:extLst>
            <a:ext uri="{FF2B5EF4-FFF2-40B4-BE49-F238E27FC236}">
              <a16:creationId xmlns:a16="http://schemas.microsoft.com/office/drawing/2014/main" id="{00000000-0008-0000-0200-000070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13" name="TextBox 112">
          <a:extLst>
            <a:ext uri="{FF2B5EF4-FFF2-40B4-BE49-F238E27FC236}">
              <a16:creationId xmlns:a16="http://schemas.microsoft.com/office/drawing/2014/main" id="{00000000-0008-0000-0200-000071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14" name="TextBox 113">
          <a:extLst>
            <a:ext uri="{FF2B5EF4-FFF2-40B4-BE49-F238E27FC236}">
              <a16:creationId xmlns:a16="http://schemas.microsoft.com/office/drawing/2014/main" id="{00000000-0008-0000-0200-000072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15" name="TextBox 114">
          <a:extLst>
            <a:ext uri="{FF2B5EF4-FFF2-40B4-BE49-F238E27FC236}">
              <a16:creationId xmlns:a16="http://schemas.microsoft.com/office/drawing/2014/main" id="{00000000-0008-0000-0200-000073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16" name="TextBox 115">
          <a:extLst>
            <a:ext uri="{FF2B5EF4-FFF2-40B4-BE49-F238E27FC236}">
              <a16:creationId xmlns:a16="http://schemas.microsoft.com/office/drawing/2014/main" id="{00000000-0008-0000-0200-000074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17" name="TextBox 116">
          <a:extLst>
            <a:ext uri="{FF2B5EF4-FFF2-40B4-BE49-F238E27FC236}">
              <a16:creationId xmlns:a16="http://schemas.microsoft.com/office/drawing/2014/main" id="{00000000-0008-0000-0200-000075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18" name="TextBox 117">
          <a:extLst>
            <a:ext uri="{FF2B5EF4-FFF2-40B4-BE49-F238E27FC236}">
              <a16:creationId xmlns:a16="http://schemas.microsoft.com/office/drawing/2014/main" id="{00000000-0008-0000-0200-000076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Manager</a:t>
          </a:r>
        </a:p>
        <a:p>
          <a:pPr>
            <a:lnSpc>
              <a:spcPts val="5700"/>
            </a:lnSpc>
          </a:pP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19" name="TextBox 118">
          <a:extLst>
            <a:ext uri="{FF2B5EF4-FFF2-40B4-BE49-F238E27FC236}">
              <a16:creationId xmlns:a16="http://schemas.microsoft.com/office/drawing/2014/main" id="{00000000-0008-0000-0200-000077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20" name="TextBox 119">
          <a:extLst>
            <a:ext uri="{FF2B5EF4-FFF2-40B4-BE49-F238E27FC236}">
              <a16:creationId xmlns:a16="http://schemas.microsoft.com/office/drawing/2014/main" id="{00000000-0008-0000-0200-000078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21" name="TextBox 120">
          <a:extLst>
            <a:ext uri="{FF2B5EF4-FFF2-40B4-BE49-F238E27FC236}">
              <a16:creationId xmlns:a16="http://schemas.microsoft.com/office/drawing/2014/main" id="{00000000-0008-0000-0200-000079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Manager</a:t>
          </a:r>
        </a:p>
        <a:p>
          <a:pPr>
            <a:lnSpc>
              <a:spcPts val="5700"/>
            </a:lnSpc>
          </a:pP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22" name="TextBox 121">
          <a:extLst>
            <a:ext uri="{FF2B5EF4-FFF2-40B4-BE49-F238E27FC236}">
              <a16:creationId xmlns:a16="http://schemas.microsoft.com/office/drawing/2014/main" id="{00000000-0008-0000-0200-00007A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23" name="TextBox 122">
          <a:extLst>
            <a:ext uri="{FF2B5EF4-FFF2-40B4-BE49-F238E27FC236}">
              <a16:creationId xmlns:a16="http://schemas.microsoft.com/office/drawing/2014/main" id="{00000000-0008-0000-0200-00007B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24" name="TextBox 123">
          <a:extLst>
            <a:ext uri="{FF2B5EF4-FFF2-40B4-BE49-F238E27FC236}">
              <a16:creationId xmlns:a16="http://schemas.microsoft.com/office/drawing/2014/main" id="{00000000-0008-0000-0200-00007C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25" name="TextBox 124">
          <a:extLst>
            <a:ext uri="{FF2B5EF4-FFF2-40B4-BE49-F238E27FC236}">
              <a16:creationId xmlns:a16="http://schemas.microsoft.com/office/drawing/2014/main" id="{00000000-0008-0000-0200-00007D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Acting 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26" name="TextBox 125">
          <a:extLst>
            <a:ext uri="{FF2B5EF4-FFF2-40B4-BE49-F238E27FC236}">
              <a16:creationId xmlns:a16="http://schemas.microsoft.com/office/drawing/2014/main" id="{00000000-0008-0000-0200-00007E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Acting 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27" name="TextBox 126">
          <a:extLst>
            <a:ext uri="{FF2B5EF4-FFF2-40B4-BE49-F238E27FC236}">
              <a16:creationId xmlns:a16="http://schemas.microsoft.com/office/drawing/2014/main" id="{00000000-0008-0000-0200-00007F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28" name="TextBox 127">
          <a:extLst>
            <a:ext uri="{FF2B5EF4-FFF2-40B4-BE49-F238E27FC236}">
              <a16:creationId xmlns:a16="http://schemas.microsoft.com/office/drawing/2014/main" id="{00000000-0008-0000-0200-000080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29" name="TextBox 128">
          <a:extLst>
            <a:ext uri="{FF2B5EF4-FFF2-40B4-BE49-F238E27FC236}">
              <a16:creationId xmlns:a16="http://schemas.microsoft.com/office/drawing/2014/main" id="{00000000-0008-0000-0200-000081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1486046</xdr:colOff>
      <xdr:row>118</xdr:row>
      <xdr:rowOff>114300</xdr:rowOff>
    </xdr:to>
    <xdr:sp macro="" textlink="">
      <xdr:nvSpPr>
        <xdr:cNvPr id="130" name="TextBox 129">
          <a:extLst>
            <a:ext uri="{FF2B5EF4-FFF2-40B4-BE49-F238E27FC236}">
              <a16:creationId xmlns:a16="http://schemas.microsoft.com/office/drawing/2014/main" id="{00000000-0008-0000-0200-000082000000}"/>
            </a:ext>
          </a:extLst>
        </xdr:cNvPr>
        <xdr:cNvSpPr txBox="1"/>
      </xdr:nvSpPr>
      <xdr:spPr>
        <a:xfrm>
          <a:off x="13335000" y="60483750"/>
          <a:ext cx="72072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742950</xdr:colOff>
      <xdr:row>102</xdr:row>
      <xdr:rowOff>38100</xdr:rowOff>
    </xdr:from>
    <xdr:to>
      <xdr:col>19</xdr:col>
      <xdr:colOff>1444668</xdr:colOff>
      <xdr:row>119</xdr:row>
      <xdr:rowOff>2114</xdr:rowOff>
    </xdr:to>
    <xdr:sp macro="" textlink="">
      <xdr:nvSpPr>
        <xdr:cNvPr id="131" name="TextBox 130">
          <a:extLst>
            <a:ext uri="{FF2B5EF4-FFF2-40B4-BE49-F238E27FC236}">
              <a16:creationId xmlns:a16="http://schemas.microsoft.com/office/drawing/2014/main" id="{00000000-0008-0000-0200-000083000000}"/>
            </a:ext>
          </a:extLst>
        </xdr:cNvPr>
        <xdr:cNvSpPr txBox="1"/>
      </xdr:nvSpPr>
      <xdr:spPr>
        <a:xfrm>
          <a:off x="21656675" y="60483750"/>
          <a:ext cx="11715750" cy="586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1486046</xdr:colOff>
      <xdr:row>118</xdr:row>
      <xdr:rowOff>114300</xdr:rowOff>
    </xdr:to>
    <xdr:sp macro="" textlink="">
      <xdr:nvSpPr>
        <xdr:cNvPr id="132" name="TextBox 131">
          <a:extLst>
            <a:ext uri="{FF2B5EF4-FFF2-40B4-BE49-F238E27FC236}">
              <a16:creationId xmlns:a16="http://schemas.microsoft.com/office/drawing/2014/main" id="{00000000-0008-0000-0200-000084000000}"/>
            </a:ext>
          </a:extLst>
        </xdr:cNvPr>
        <xdr:cNvSpPr txBox="1"/>
      </xdr:nvSpPr>
      <xdr:spPr>
        <a:xfrm>
          <a:off x="13335000" y="60483750"/>
          <a:ext cx="72072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742950</xdr:colOff>
      <xdr:row>102</xdr:row>
      <xdr:rowOff>38100</xdr:rowOff>
    </xdr:from>
    <xdr:to>
      <xdr:col>19</xdr:col>
      <xdr:colOff>1444668</xdr:colOff>
      <xdr:row>119</xdr:row>
      <xdr:rowOff>2114</xdr:rowOff>
    </xdr:to>
    <xdr:sp macro="" textlink="">
      <xdr:nvSpPr>
        <xdr:cNvPr id="133" name="TextBox 132">
          <a:extLst>
            <a:ext uri="{FF2B5EF4-FFF2-40B4-BE49-F238E27FC236}">
              <a16:creationId xmlns:a16="http://schemas.microsoft.com/office/drawing/2014/main" id="{00000000-0008-0000-0200-000085000000}"/>
            </a:ext>
          </a:extLst>
        </xdr:cNvPr>
        <xdr:cNvSpPr txBox="1"/>
      </xdr:nvSpPr>
      <xdr:spPr>
        <a:xfrm>
          <a:off x="21656675" y="60483750"/>
          <a:ext cx="11715750" cy="586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1486046</xdr:colOff>
      <xdr:row>118</xdr:row>
      <xdr:rowOff>114300</xdr:rowOff>
    </xdr:to>
    <xdr:sp macro="" textlink="">
      <xdr:nvSpPr>
        <xdr:cNvPr id="134" name="TextBox 133">
          <a:extLst>
            <a:ext uri="{FF2B5EF4-FFF2-40B4-BE49-F238E27FC236}">
              <a16:creationId xmlns:a16="http://schemas.microsoft.com/office/drawing/2014/main" id="{00000000-0008-0000-0200-000086000000}"/>
            </a:ext>
          </a:extLst>
        </xdr:cNvPr>
        <xdr:cNvSpPr txBox="1"/>
      </xdr:nvSpPr>
      <xdr:spPr>
        <a:xfrm>
          <a:off x="13335000" y="60483750"/>
          <a:ext cx="72072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742950</xdr:colOff>
      <xdr:row>102</xdr:row>
      <xdr:rowOff>38100</xdr:rowOff>
    </xdr:from>
    <xdr:to>
      <xdr:col>19</xdr:col>
      <xdr:colOff>1444668</xdr:colOff>
      <xdr:row>119</xdr:row>
      <xdr:rowOff>2114</xdr:rowOff>
    </xdr:to>
    <xdr:sp macro="" textlink="">
      <xdr:nvSpPr>
        <xdr:cNvPr id="135" name="TextBox 134">
          <a:extLst>
            <a:ext uri="{FF2B5EF4-FFF2-40B4-BE49-F238E27FC236}">
              <a16:creationId xmlns:a16="http://schemas.microsoft.com/office/drawing/2014/main" id="{00000000-0008-0000-0200-000087000000}"/>
            </a:ext>
          </a:extLst>
        </xdr:cNvPr>
        <xdr:cNvSpPr txBox="1"/>
      </xdr:nvSpPr>
      <xdr:spPr>
        <a:xfrm>
          <a:off x="21656675" y="60483750"/>
          <a:ext cx="11715750" cy="586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36" name="TextBox 135">
          <a:extLst>
            <a:ext uri="{FF2B5EF4-FFF2-40B4-BE49-F238E27FC236}">
              <a16:creationId xmlns:a16="http://schemas.microsoft.com/office/drawing/2014/main" id="{00000000-0008-0000-0200-000088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37" name="TextBox 136">
          <a:extLst>
            <a:ext uri="{FF2B5EF4-FFF2-40B4-BE49-F238E27FC236}">
              <a16:creationId xmlns:a16="http://schemas.microsoft.com/office/drawing/2014/main" id="{00000000-0008-0000-0200-000089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876334</xdr:colOff>
      <xdr:row>119</xdr:row>
      <xdr:rowOff>2629</xdr:rowOff>
    </xdr:to>
    <xdr:sp macro="" textlink="">
      <xdr:nvSpPr>
        <xdr:cNvPr id="138" name="TextBox 137">
          <a:extLst>
            <a:ext uri="{FF2B5EF4-FFF2-40B4-BE49-F238E27FC236}">
              <a16:creationId xmlns:a16="http://schemas.microsoft.com/office/drawing/2014/main" id="{00000000-0008-0000-0200-00008A000000}"/>
            </a:ext>
          </a:extLst>
        </xdr:cNvPr>
        <xdr:cNvSpPr txBox="1"/>
      </xdr:nvSpPr>
      <xdr:spPr>
        <a:xfrm>
          <a:off x="34182050" y="60445650"/>
          <a:ext cx="116903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39" name="TextBox 138">
          <a:extLst>
            <a:ext uri="{FF2B5EF4-FFF2-40B4-BE49-F238E27FC236}">
              <a16:creationId xmlns:a16="http://schemas.microsoft.com/office/drawing/2014/main" id="{00000000-0008-0000-0200-00008B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40" name="TextBox 139">
          <a:extLst>
            <a:ext uri="{FF2B5EF4-FFF2-40B4-BE49-F238E27FC236}">
              <a16:creationId xmlns:a16="http://schemas.microsoft.com/office/drawing/2014/main" id="{00000000-0008-0000-0200-00008C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876334</xdr:colOff>
      <xdr:row>119</xdr:row>
      <xdr:rowOff>2629</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34182050" y="60445650"/>
          <a:ext cx="116903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43" name="TextBox 142">
          <a:extLst>
            <a:ext uri="{FF2B5EF4-FFF2-40B4-BE49-F238E27FC236}">
              <a16:creationId xmlns:a16="http://schemas.microsoft.com/office/drawing/2014/main" id="{00000000-0008-0000-0200-00008F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876334</xdr:colOff>
      <xdr:row>119</xdr:row>
      <xdr:rowOff>2629</xdr:rowOff>
    </xdr:to>
    <xdr:sp macro="" textlink="">
      <xdr:nvSpPr>
        <xdr:cNvPr id="144" name="TextBox 143">
          <a:extLst>
            <a:ext uri="{FF2B5EF4-FFF2-40B4-BE49-F238E27FC236}">
              <a16:creationId xmlns:a16="http://schemas.microsoft.com/office/drawing/2014/main" id="{00000000-0008-0000-0200-000090000000}"/>
            </a:ext>
          </a:extLst>
        </xdr:cNvPr>
        <xdr:cNvSpPr txBox="1"/>
      </xdr:nvSpPr>
      <xdr:spPr>
        <a:xfrm>
          <a:off x="34182050" y="60445650"/>
          <a:ext cx="116903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45" name="TextBox 144">
          <a:extLst>
            <a:ext uri="{FF2B5EF4-FFF2-40B4-BE49-F238E27FC236}">
              <a16:creationId xmlns:a16="http://schemas.microsoft.com/office/drawing/2014/main" id="{00000000-0008-0000-0200-000091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46" name="TextBox 145">
          <a:extLst>
            <a:ext uri="{FF2B5EF4-FFF2-40B4-BE49-F238E27FC236}">
              <a16:creationId xmlns:a16="http://schemas.microsoft.com/office/drawing/2014/main" id="{00000000-0008-0000-0200-000092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876334</xdr:colOff>
      <xdr:row>119</xdr:row>
      <xdr:rowOff>2629</xdr:rowOff>
    </xdr:to>
    <xdr:sp macro="" textlink="">
      <xdr:nvSpPr>
        <xdr:cNvPr id="147" name="TextBox 146">
          <a:extLst>
            <a:ext uri="{FF2B5EF4-FFF2-40B4-BE49-F238E27FC236}">
              <a16:creationId xmlns:a16="http://schemas.microsoft.com/office/drawing/2014/main" id="{00000000-0008-0000-0200-000093000000}"/>
            </a:ext>
          </a:extLst>
        </xdr:cNvPr>
        <xdr:cNvSpPr txBox="1"/>
      </xdr:nvSpPr>
      <xdr:spPr>
        <a:xfrm>
          <a:off x="34182050" y="60445650"/>
          <a:ext cx="116903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400"/>
            </a:lnSpc>
          </a:pPr>
          <a:r>
            <a:rPr lang="en-US" sz="5000"/>
            <a:t>_______________________________</a:t>
          </a:r>
        </a:p>
        <a:p>
          <a:pPr>
            <a:lnSpc>
              <a:spcPts val="5300"/>
            </a:lnSpc>
          </a:pPr>
          <a:r>
            <a:rPr lang="en-US" sz="5000"/>
            <a:t>Officer</a:t>
          </a:r>
        </a:p>
        <a:p>
          <a:pPr>
            <a:lnSpc>
              <a:spcPts val="54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50" name="TextBox 149">
          <a:extLst>
            <a:ext uri="{FF2B5EF4-FFF2-40B4-BE49-F238E27FC236}">
              <a16:creationId xmlns:a16="http://schemas.microsoft.com/office/drawing/2014/main" id="{00000000-0008-0000-0200-000096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51" name="TextBox 150">
          <a:extLst>
            <a:ext uri="{FF2B5EF4-FFF2-40B4-BE49-F238E27FC236}">
              <a16:creationId xmlns:a16="http://schemas.microsoft.com/office/drawing/2014/main" id="{00000000-0008-0000-0200-000097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52" name="TextBox 151">
          <a:extLst>
            <a:ext uri="{FF2B5EF4-FFF2-40B4-BE49-F238E27FC236}">
              <a16:creationId xmlns:a16="http://schemas.microsoft.com/office/drawing/2014/main" id="{00000000-0008-0000-0200-000098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53" name="TextBox 152">
          <a:extLst>
            <a:ext uri="{FF2B5EF4-FFF2-40B4-BE49-F238E27FC236}">
              <a16:creationId xmlns:a16="http://schemas.microsoft.com/office/drawing/2014/main" id="{00000000-0008-0000-0200-000099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54" name="TextBox 153">
          <a:extLst>
            <a:ext uri="{FF2B5EF4-FFF2-40B4-BE49-F238E27FC236}">
              <a16:creationId xmlns:a16="http://schemas.microsoft.com/office/drawing/2014/main" id="{00000000-0008-0000-0200-00009A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55" name="TextBox 154">
          <a:extLst>
            <a:ext uri="{FF2B5EF4-FFF2-40B4-BE49-F238E27FC236}">
              <a16:creationId xmlns:a16="http://schemas.microsoft.com/office/drawing/2014/main" id="{00000000-0008-0000-0200-00009B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56" name="TextBox 155">
          <a:extLst>
            <a:ext uri="{FF2B5EF4-FFF2-40B4-BE49-F238E27FC236}">
              <a16:creationId xmlns:a16="http://schemas.microsoft.com/office/drawing/2014/main" id="{00000000-0008-0000-0200-00009C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57" name="TextBox 156">
          <a:extLst>
            <a:ext uri="{FF2B5EF4-FFF2-40B4-BE49-F238E27FC236}">
              <a16:creationId xmlns:a16="http://schemas.microsoft.com/office/drawing/2014/main" id="{00000000-0008-0000-0200-00009D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59" name="TextBox 158">
          <a:extLst>
            <a:ext uri="{FF2B5EF4-FFF2-40B4-BE49-F238E27FC236}">
              <a16:creationId xmlns:a16="http://schemas.microsoft.com/office/drawing/2014/main" id="{00000000-0008-0000-0200-00009F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61" name="TextBox 160">
          <a:extLst>
            <a:ext uri="{FF2B5EF4-FFF2-40B4-BE49-F238E27FC236}">
              <a16:creationId xmlns:a16="http://schemas.microsoft.com/office/drawing/2014/main" id="{00000000-0008-0000-0200-0000A1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62" name="TextBox 161">
          <a:extLst>
            <a:ext uri="{FF2B5EF4-FFF2-40B4-BE49-F238E27FC236}">
              <a16:creationId xmlns:a16="http://schemas.microsoft.com/office/drawing/2014/main" id="{00000000-0008-0000-0200-0000A2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400"/>
            </a:lnSpc>
          </a:pPr>
          <a:r>
            <a:rPr lang="en-US" sz="5000"/>
            <a:t>Prepared by:</a:t>
          </a:r>
        </a:p>
        <a:p>
          <a:pPr>
            <a:lnSpc>
              <a:spcPts val="5400"/>
            </a:lnSpc>
          </a:pPr>
          <a:endParaRPr lang="en-US" sz="5000"/>
        </a:p>
        <a:p>
          <a:pPr>
            <a:lnSpc>
              <a:spcPts val="5300"/>
            </a:lnSpc>
          </a:pPr>
          <a:endParaRPr lang="en-US" sz="5000"/>
        </a:p>
        <a:p>
          <a:pPr>
            <a:lnSpc>
              <a:spcPts val="5300"/>
            </a:lnSpc>
          </a:pPr>
          <a:r>
            <a:rPr lang="en-US" sz="5000"/>
            <a:t>_______________________________</a:t>
          </a:r>
        </a:p>
        <a:p>
          <a:pPr>
            <a:lnSpc>
              <a:spcPts val="5400"/>
            </a:lnSpc>
          </a:pPr>
          <a:r>
            <a:rPr lang="en-US" sz="5000"/>
            <a:t>Assistant Manager</a:t>
          </a:r>
        </a:p>
        <a:p>
          <a:pPr>
            <a:lnSpc>
              <a:spcPts val="5500"/>
            </a:lnSpc>
          </a:pPr>
          <a:r>
            <a:rPr lang="en-US" sz="5000"/>
            <a:t>Accounting</a:t>
          </a:r>
          <a:r>
            <a:rPr lang="en-US" sz="5000" baseline="0"/>
            <a:t> Department</a:t>
          </a:r>
          <a:endParaRPr lang="en-US" sz="5000"/>
        </a:p>
        <a:p>
          <a:pPr>
            <a:lnSpc>
              <a:spcPts val="5400"/>
            </a:lnSpc>
          </a:pPr>
          <a:endParaRPr lang="en-US" sz="5000"/>
        </a:p>
        <a:p>
          <a:pPr>
            <a:lnSpc>
              <a:spcPts val="10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63" name="TextBox 162">
          <a:extLst>
            <a:ext uri="{FF2B5EF4-FFF2-40B4-BE49-F238E27FC236}">
              <a16:creationId xmlns:a16="http://schemas.microsoft.com/office/drawing/2014/main" id="{00000000-0008-0000-0200-0000A3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64" name="TextBox 163">
          <a:extLst>
            <a:ext uri="{FF2B5EF4-FFF2-40B4-BE49-F238E27FC236}">
              <a16:creationId xmlns:a16="http://schemas.microsoft.com/office/drawing/2014/main" id="{00000000-0008-0000-0200-0000A4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Manager</a:t>
          </a:r>
        </a:p>
        <a:p>
          <a:pPr>
            <a:lnSpc>
              <a:spcPts val="5700"/>
            </a:lnSpc>
          </a:pP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67" name="TextBox 166">
          <a:extLst>
            <a:ext uri="{FF2B5EF4-FFF2-40B4-BE49-F238E27FC236}">
              <a16:creationId xmlns:a16="http://schemas.microsoft.com/office/drawing/2014/main" id="{00000000-0008-0000-0200-0000A7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Manager</a:t>
          </a:r>
        </a:p>
        <a:p>
          <a:pPr>
            <a:lnSpc>
              <a:spcPts val="5700"/>
            </a:lnSpc>
          </a:pP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69" name="TextBox 168">
          <a:extLst>
            <a:ext uri="{FF2B5EF4-FFF2-40B4-BE49-F238E27FC236}">
              <a16:creationId xmlns:a16="http://schemas.microsoft.com/office/drawing/2014/main" id="{00000000-0008-0000-0200-0000A9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70" name="TextBox 169">
          <a:extLst>
            <a:ext uri="{FF2B5EF4-FFF2-40B4-BE49-F238E27FC236}">
              <a16:creationId xmlns:a16="http://schemas.microsoft.com/office/drawing/2014/main" id="{00000000-0008-0000-0200-0000AA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71" name="TextBox 170">
          <a:extLst>
            <a:ext uri="{FF2B5EF4-FFF2-40B4-BE49-F238E27FC236}">
              <a16:creationId xmlns:a16="http://schemas.microsoft.com/office/drawing/2014/main" id="{00000000-0008-0000-0200-0000AB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Acting 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Acting 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74" name="TextBox 173">
          <a:extLst>
            <a:ext uri="{FF2B5EF4-FFF2-40B4-BE49-F238E27FC236}">
              <a16:creationId xmlns:a16="http://schemas.microsoft.com/office/drawing/2014/main" id="{00000000-0008-0000-0200-0000AE000000}"/>
            </a:ext>
          </a:extLst>
        </xdr:cNvPr>
        <xdr:cNvSpPr txBox="1"/>
      </xdr:nvSpPr>
      <xdr:spPr>
        <a:xfrm>
          <a:off x="13335000" y="604837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75" name="TextBox 174">
          <a:extLst>
            <a:ext uri="{FF2B5EF4-FFF2-40B4-BE49-F238E27FC236}">
              <a16:creationId xmlns:a16="http://schemas.microsoft.com/office/drawing/2014/main" id="{00000000-0008-0000-0200-0000AF000000}"/>
            </a:ext>
          </a:extLst>
        </xdr:cNvPr>
        <xdr:cNvSpPr txBox="1"/>
      </xdr:nvSpPr>
      <xdr:spPr>
        <a:xfrm>
          <a:off x="21618575" y="604837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76" name="TextBox 175">
          <a:extLst>
            <a:ext uri="{FF2B5EF4-FFF2-40B4-BE49-F238E27FC236}">
              <a16:creationId xmlns:a16="http://schemas.microsoft.com/office/drawing/2014/main" id="{00000000-0008-0000-0200-0000B0000000}"/>
            </a:ext>
          </a:extLst>
        </xdr:cNvPr>
        <xdr:cNvSpPr txBox="1"/>
      </xdr:nvSpPr>
      <xdr:spPr>
        <a:xfrm>
          <a:off x="34182050" y="604456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1486046</xdr:colOff>
      <xdr:row>118</xdr:row>
      <xdr:rowOff>114300</xdr:rowOff>
    </xdr:to>
    <xdr:sp macro="" textlink="">
      <xdr:nvSpPr>
        <xdr:cNvPr id="177" name="TextBox 176">
          <a:extLst>
            <a:ext uri="{FF2B5EF4-FFF2-40B4-BE49-F238E27FC236}">
              <a16:creationId xmlns:a16="http://schemas.microsoft.com/office/drawing/2014/main" id="{00000000-0008-0000-0200-0000B1000000}"/>
            </a:ext>
          </a:extLst>
        </xdr:cNvPr>
        <xdr:cNvSpPr txBox="1"/>
      </xdr:nvSpPr>
      <xdr:spPr>
        <a:xfrm>
          <a:off x="13335000" y="60483750"/>
          <a:ext cx="72072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742950</xdr:colOff>
      <xdr:row>102</xdr:row>
      <xdr:rowOff>38100</xdr:rowOff>
    </xdr:from>
    <xdr:to>
      <xdr:col>19</xdr:col>
      <xdr:colOff>1444668</xdr:colOff>
      <xdr:row>119</xdr:row>
      <xdr:rowOff>2114</xdr:rowOff>
    </xdr:to>
    <xdr:sp macro="" textlink="">
      <xdr:nvSpPr>
        <xdr:cNvPr id="178" name="TextBox 177">
          <a:extLst>
            <a:ext uri="{FF2B5EF4-FFF2-40B4-BE49-F238E27FC236}">
              <a16:creationId xmlns:a16="http://schemas.microsoft.com/office/drawing/2014/main" id="{00000000-0008-0000-0200-0000B2000000}"/>
            </a:ext>
          </a:extLst>
        </xdr:cNvPr>
        <xdr:cNvSpPr txBox="1"/>
      </xdr:nvSpPr>
      <xdr:spPr>
        <a:xfrm>
          <a:off x="21656675" y="60483750"/>
          <a:ext cx="11715750" cy="586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419100</xdr:colOff>
      <xdr:row>102</xdr:row>
      <xdr:rowOff>0</xdr:rowOff>
    </xdr:from>
    <xdr:to>
      <xdr:col>26</xdr:col>
      <xdr:colOff>6575</xdr:colOff>
      <xdr:row>119</xdr:row>
      <xdr:rowOff>2114</xdr:rowOff>
    </xdr:to>
    <xdr:sp macro="" textlink="">
      <xdr:nvSpPr>
        <xdr:cNvPr id="179" name="TextBox 178">
          <a:extLst>
            <a:ext uri="{FF2B5EF4-FFF2-40B4-BE49-F238E27FC236}">
              <a16:creationId xmlns:a16="http://schemas.microsoft.com/office/drawing/2014/main" id="{00000000-0008-0000-0200-0000B3000000}"/>
            </a:ext>
          </a:extLst>
        </xdr:cNvPr>
        <xdr:cNvSpPr txBox="1"/>
      </xdr:nvSpPr>
      <xdr:spPr>
        <a:xfrm>
          <a:off x="34194750" y="60445650"/>
          <a:ext cx="10798171" cy="597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1486046</xdr:colOff>
      <xdr:row>118</xdr:row>
      <xdr:rowOff>114300</xdr:rowOff>
    </xdr:to>
    <xdr:sp macro="" textlink="">
      <xdr:nvSpPr>
        <xdr:cNvPr id="180" name="TextBox 179">
          <a:extLst>
            <a:ext uri="{FF2B5EF4-FFF2-40B4-BE49-F238E27FC236}">
              <a16:creationId xmlns:a16="http://schemas.microsoft.com/office/drawing/2014/main" id="{00000000-0008-0000-0200-0000B4000000}"/>
            </a:ext>
          </a:extLst>
        </xdr:cNvPr>
        <xdr:cNvSpPr txBox="1"/>
      </xdr:nvSpPr>
      <xdr:spPr>
        <a:xfrm>
          <a:off x="13335000" y="60483750"/>
          <a:ext cx="72072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742950</xdr:colOff>
      <xdr:row>102</xdr:row>
      <xdr:rowOff>38100</xdr:rowOff>
    </xdr:from>
    <xdr:to>
      <xdr:col>19</xdr:col>
      <xdr:colOff>1444668</xdr:colOff>
      <xdr:row>119</xdr:row>
      <xdr:rowOff>2114</xdr:rowOff>
    </xdr:to>
    <xdr:sp macro="" textlink="">
      <xdr:nvSpPr>
        <xdr:cNvPr id="181" name="TextBox 180">
          <a:extLst>
            <a:ext uri="{FF2B5EF4-FFF2-40B4-BE49-F238E27FC236}">
              <a16:creationId xmlns:a16="http://schemas.microsoft.com/office/drawing/2014/main" id="{00000000-0008-0000-0200-0000B5000000}"/>
            </a:ext>
          </a:extLst>
        </xdr:cNvPr>
        <xdr:cNvSpPr txBox="1"/>
      </xdr:nvSpPr>
      <xdr:spPr>
        <a:xfrm>
          <a:off x="21656675" y="60483750"/>
          <a:ext cx="11715750" cy="586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419100</xdr:colOff>
      <xdr:row>102</xdr:row>
      <xdr:rowOff>0</xdr:rowOff>
    </xdr:from>
    <xdr:to>
      <xdr:col>26</xdr:col>
      <xdr:colOff>6575</xdr:colOff>
      <xdr:row>119</xdr:row>
      <xdr:rowOff>2114</xdr:rowOff>
    </xdr:to>
    <xdr:sp macro="" textlink="">
      <xdr:nvSpPr>
        <xdr:cNvPr id="182" name="TextBox 181">
          <a:extLst>
            <a:ext uri="{FF2B5EF4-FFF2-40B4-BE49-F238E27FC236}">
              <a16:creationId xmlns:a16="http://schemas.microsoft.com/office/drawing/2014/main" id="{00000000-0008-0000-0200-0000B6000000}"/>
            </a:ext>
          </a:extLst>
        </xdr:cNvPr>
        <xdr:cNvSpPr txBox="1"/>
      </xdr:nvSpPr>
      <xdr:spPr>
        <a:xfrm>
          <a:off x="34194750" y="60445650"/>
          <a:ext cx="10798171" cy="597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1486046</xdr:colOff>
      <xdr:row>118</xdr:row>
      <xdr:rowOff>114300</xdr:rowOff>
    </xdr:to>
    <xdr:sp macro="" textlink="">
      <xdr:nvSpPr>
        <xdr:cNvPr id="183" name="TextBox 182">
          <a:extLst>
            <a:ext uri="{FF2B5EF4-FFF2-40B4-BE49-F238E27FC236}">
              <a16:creationId xmlns:a16="http://schemas.microsoft.com/office/drawing/2014/main" id="{00000000-0008-0000-0200-0000B7000000}"/>
            </a:ext>
          </a:extLst>
        </xdr:cNvPr>
        <xdr:cNvSpPr txBox="1"/>
      </xdr:nvSpPr>
      <xdr:spPr>
        <a:xfrm>
          <a:off x="13335000" y="60483750"/>
          <a:ext cx="72072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742950</xdr:colOff>
      <xdr:row>102</xdr:row>
      <xdr:rowOff>38100</xdr:rowOff>
    </xdr:from>
    <xdr:to>
      <xdr:col>19</xdr:col>
      <xdr:colOff>1444668</xdr:colOff>
      <xdr:row>119</xdr:row>
      <xdr:rowOff>2114</xdr:rowOff>
    </xdr:to>
    <xdr:sp macro="" textlink="">
      <xdr:nvSpPr>
        <xdr:cNvPr id="184" name="TextBox 183">
          <a:extLst>
            <a:ext uri="{FF2B5EF4-FFF2-40B4-BE49-F238E27FC236}">
              <a16:creationId xmlns:a16="http://schemas.microsoft.com/office/drawing/2014/main" id="{00000000-0008-0000-0200-0000B8000000}"/>
            </a:ext>
          </a:extLst>
        </xdr:cNvPr>
        <xdr:cNvSpPr txBox="1"/>
      </xdr:nvSpPr>
      <xdr:spPr>
        <a:xfrm>
          <a:off x="21656675" y="60483750"/>
          <a:ext cx="11715750" cy="586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419100</xdr:colOff>
      <xdr:row>102</xdr:row>
      <xdr:rowOff>0</xdr:rowOff>
    </xdr:from>
    <xdr:to>
      <xdr:col>26</xdr:col>
      <xdr:colOff>6575</xdr:colOff>
      <xdr:row>119</xdr:row>
      <xdr:rowOff>2114</xdr:rowOff>
    </xdr:to>
    <xdr:sp macro="" textlink="">
      <xdr:nvSpPr>
        <xdr:cNvPr id="185" name="TextBox 184">
          <a:extLst>
            <a:ext uri="{FF2B5EF4-FFF2-40B4-BE49-F238E27FC236}">
              <a16:creationId xmlns:a16="http://schemas.microsoft.com/office/drawing/2014/main" id="{00000000-0008-0000-0200-0000B9000000}"/>
            </a:ext>
          </a:extLst>
        </xdr:cNvPr>
        <xdr:cNvSpPr txBox="1"/>
      </xdr:nvSpPr>
      <xdr:spPr>
        <a:xfrm>
          <a:off x="34194750" y="60445650"/>
          <a:ext cx="10798171" cy="597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189" name="TextBox 188">
          <a:extLst>
            <a:ext uri="{FF2B5EF4-FFF2-40B4-BE49-F238E27FC236}">
              <a16:creationId xmlns:a16="http://schemas.microsoft.com/office/drawing/2014/main" id="{00000000-0008-0000-0200-0000BD000000}"/>
            </a:ext>
          </a:extLst>
        </xdr:cNvPr>
        <xdr:cNvSpPr txBox="1"/>
      </xdr:nvSpPr>
      <xdr:spPr>
        <a:xfrm>
          <a:off x="13335000" y="60712350"/>
          <a:ext cx="71437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190" name="TextBox 189">
          <a:extLst>
            <a:ext uri="{FF2B5EF4-FFF2-40B4-BE49-F238E27FC236}">
              <a16:creationId xmlns:a16="http://schemas.microsoft.com/office/drawing/2014/main" id="{00000000-0008-0000-0200-0000BE000000}"/>
            </a:ext>
          </a:extLst>
        </xdr:cNvPr>
        <xdr:cNvSpPr txBox="1"/>
      </xdr:nvSpPr>
      <xdr:spPr>
        <a:xfrm>
          <a:off x="21618575" y="60712350"/>
          <a:ext cx="116903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191" name="TextBox 190">
          <a:extLst>
            <a:ext uri="{FF2B5EF4-FFF2-40B4-BE49-F238E27FC236}">
              <a16:creationId xmlns:a16="http://schemas.microsoft.com/office/drawing/2014/main" id="{00000000-0008-0000-0200-0000BF000000}"/>
            </a:ext>
          </a:extLst>
        </xdr:cNvPr>
        <xdr:cNvSpPr txBox="1"/>
      </xdr:nvSpPr>
      <xdr:spPr>
        <a:xfrm>
          <a:off x="34182050" y="60674250"/>
          <a:ext cx="108140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186" name="TextBox 185">
          <a:extLst>
            <a:ext uri="{FF2B5EF4-FFF2-40B4-BE49-F238E27FC236}">
              <a16:creationId xmlns:a16="http://schemas.microsoft.com/office/drawing/2014/main" id="{00000000-0008-0000-0200-0000BA000000}"/>
            </a:ext>
          </a:extLst>
        </xdr:cNvPr>
        <xdr:cNvSpPr txBox="1"/>
      </xdr:nvSpPr>
      <xdr:spPr>
        <a:xfrm>
          <a:off x="10255250" y="66979800"/>
          <a:ext cx="1239520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187" name="TextBox 186">
          <a:extLst>
            <a:ext uri="{FF2B5EF4-FFF2-40B4-BE49-F238E27FC236}">
              <a16:creationId xmlns:a16="http://schemas.microsoft.com/office/drawing/2014/main" id="{00000000-0008-0000-0200-0000BB000000}"/>
            </a:ext>
          </a:extLst>
        </xdr:cNvPr>
        <xdr:cNvSpPr txBox="1"/>
      </xdr:nvSpPr>
      <xdr:spPr>
        <a:xfrm>
          <a:off x="23790275" y="669798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188" name="TextBox 187">
          <a:extLst>
            <a:ext uri="{FF2B5EF4-FFF2-40B4-BE49-F238E27FC236}">
              <a16:creationId xmlns:a16="http://schemas.microsoft.com/office/drawing/2014/main" id="{00000000-0008-0000-0200-0000BC000000}"/>
            </a:ext>
          </a:extLst>
        </xdr:cNvPr>
        <xdr:cNvSpPr txBox="1"/>
      </xdr:nvSpPr>
      <xdr:spPr>
        <a:xfrm>
          <a:off x="37877750" y="669417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192" name="TextBox 191">
          <a:extLst>
            <a:ext uri="{FF2B5EF4-FFF2-40B4-BE49-F238E27FC236}">
              <a16:creationId xmlns:a16="http://schemas.microsoft.com/office/drawing/2014/main" id="{00000000-0008-0000-0200-0000C0000000}"/>
            </a:ext>
          </a:extLst>
        </xdr:cNvPr>
        <xdr:cNvSpPr txBox="1"/>
      </xdr:nvSpPr>
      <xdr:spPr>
        <a:xfrm>
          <a:off x="10255250" y="66903600"/>
          <a:ext cx="1239520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193" name="TextBox 192">
          <a:extLst>
            <a:ext uri="{FF2B5EF4-FFF2-40B4-BE49-F238E27FC236}">
              <a16:creationId xmlns:a16="http://schemas.microsoft.com/office/drawing/2014/main" id="{00000000-0008-0000-0200-0000C1000000}"/>
            </a:ext>
          </a:extLst>
        </xdr:cNvPr>
        <xdr:cNvSpPr txBox="1"/>
      </xdr:nvSpPr>
      <xdr:spPr>
        <a:xfrm>
          <a:off x="23790275"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194" name="TextBox 193">
          <a:extLst>
            <a:ext uri="{FF2B5EF4-FFF2-40B4-BE49-F238E27FC236}">
              <a16:creationId xmlns:a16="http://schemas.microsoft.com/office/drawing/2014/main" id="{00000000-0008-0000-0200-0000C2000000}"/>
            </a:ext>
          </a:extLst>
        </xdr:cNvPr>
        <xdr:cNvSpPr txBox="1"/>
      </xdr:nvSpPr>
      <xdr:spPr>
        <a:xfrm>
          <a:off x="37877750"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11</xdr:col>
      <xdr:colOff>1403567</xdr:colOff>
      <xdr:row>151</xdr:row>
      <xdr:rowOff>114300</xdr:rowOff>
    </xdr:to>
    <xdr:sp macro="" textlink="">
      <xdr:nvSpPr>
        <xdr:cNvPr id="201" name="TextBox 200">
          <a:extLst>
            <a:ext uri="{FF2B5EF4-FFF2-40B4-BE49-F238E27FC236}">
              <a16:creationId xmlns:a16="http://schemas.microsoft.com/office/drawing/2014/main" id="{00000000-0008-0000-0200-0000C9000000}"/>
            </a:ext>
          </a:extLst>
        </xdr:cNvPr>
        <xdr:cNvSpPr txBox="1"/>
      </xdr:nvSpPr>
      <xdr:spPr>
        <a:xfrm>
          <a:off x="9163050" y="6665595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500"/>
            </a:lnSpc>
          </a:pPr>
          <a:r>
            <a:rPr lang="en-US" sz="5000"/>
            <a:t>Prepared by:</a:t>
          </a:r>
        </a:p>
        <a:p>
          <a:pPr>
            <a:lnSpc>
              <a:spcPts val="5400"/>
            </a:lnSpc>
          </a:pPr>
          <a:endParaRPr lang="en-US" sz="5000"/>
        </a:p>
        <a:p>
          <a:pPr>
            <a:lnSpc>
              <a:spcPts val="5400"/>
            </a:lnSpc>
          </a:pPr>
          <a:endParaRPr lang="en-US" sz="5000"/>
        </a:p>
        <a:p>
          <a:pPr>
            <a:lnSpc>
              <a:spcPts val="5400"/>
            </a:lnSpc>
          </a:pPr>
          <a:r>
            <a:rPr lang="en-US" sz="5000"/>
            <a:t>_____________________</a:t>
          </a:r>
        </a:p>
        <a:p>
          <a:pPr>
            <a:lnSpc>
              <a:spcPts val="5600"/>
            </a:lnSpc>
          </a:pPr>
          <a:r>
            <a:rPr lang="en-US" sz="5000"/>
            <a:t>Assistant </a:t>
          </a:r>
          <a:br>
            <a:rPr lang="en-US" sz="5000"/>
          </a:br>
          <a:r>
            <a:rPr lang="en-US" sz="5000"/>
            <a:t>Accounting</a:t>
          </a:r>
          <a:r>
            <a:rPr lang="en-US" sz="5000" baseline="0"/>
            <a:t> Department</a:t>
          </a:r>
          <a:endParaRPr lang="en-US" sz="5000"/>
        </a:p>
        <a:p>
          <a:pPr>
            <a:lnSpc>
              <a:spcPts val="5500"/>
            </a:lnSpc>
          </a:pPr>
          <a:endParaRPr lang="en-US" sz="5000"/>
        </a:p>
        <a:p>
          <a:pPr>
            <a:lnSpc>
              <a:spcPts val="900"/>
            </a:lnSpc>
          </a:pPr>
          <a:endParaRPr lang="en-US" sz="1100"/>
        </a:p>
      </xdr:txBody>
    </xdr:sp>
    <xdr:clientData/>
  </xdr:twoCellAnchor>
  <xdr:twoCellAnchor>
    <xdr:from>
      <xdr:col>12</xdr:col>
      <xdr:colOff>730250</xdr:colOff>
      <xdr:row>135</xdr:row>
      <xdr:rowOff>38100</xdr:rowOff>
    </xdr:from>
    <xdr:to>
      <xdr:col>18</xdr:col>
      <xdr:colOff>1358935</xdr:colOff>
      <xdr:row>151</xdr:row>
      <xdr:rowOff>231766</xdr:rowOff>
    </xdr:to>
    <xdr:sp macro="" textlink="">
      <xdr:nvSpPr>
        <xdr:cNvPr id="202" name="TextBox 201">
          <a:extLst>
            <a:ext uri="{FF2B5EF4-FFF2-40B4-BE49-F238E27FC236}">
              <a16:creationId xmlns:a16="http://schemas.microsoft.com/office/drawing/2014/main" id="{00000000-0008-0000-0200-0000CA000000}"/>
            </a:ext>
          </a:extLst>
        </xdr:cNvPr>
        <xdr:cNvSpPr txBox="1"/>
      </xdr:nvSpPr>
      <xdr:spPr>
        <a:xfrm>
          <a:off x="17951450" y="6665595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19</xdr:col>
      <xdr:colOff>415925</xdr:colOff>
      <xdr:row>135</xdr:row>
      <xdr:rowOff>0</xdr:rowOff>
    </xdr:from>
    <xdr:to>
      <xdr:col>25</xdr:col>
      <xdr:colOff>15962</xdr:colOff>
      <xdr:row>151</xdr:row>
      <xdr:rowOff>317484</xdr:rowOff>
    </xdr:to>
    <xdr:sp macro="" textlink="">
      <xdr:nvSpPr>
        <xdr:cNvPr id="203" name="TextBox 202">
          <a:extLst>
            <a:ext uri="{FF2B5EF4-FFF2-40B4-BE49-F238E27FC236}">
              <a16:creationId xmlns:a16="http://schemas.microsoft.com/office/drawing/2014/main" id="{00000000-0008-0000-0200-0000CB000000}"/>
            </a:ext>
          </a:extLst>
        </xdr:cNvPr>
        <xdr:cNvSpPr txBox="1"/>
      </xdr:nvSpPr>
      <xdr:spPr>
        <a:xfrm>
          <a:off x="32038925" y="6661785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195" name="TextBox 194">
          <a:extLst>
            <a:ext uri="{FF2B5EF4-FFF2-40B4-BE49-F238E27FC236}">
              <a16:creationId xmlns:a16="http://schemas.microsoft.com/office/drawing/2014/main" id="{00000000-0008-0000-0200-0000C3000000}"/>
            </a:ext>
          </a:extLst>
        </xdr:cNvPr>
        <xdr:cNvSpPr txBox="1"/>
      </xdr:nvSpPr>
      <xdr:spPr>
        <a:xfrm>
          <a:off x="11017250" y="66903600"/>
          <a:ext cx="1239520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196" name="TextBox 195">
          <a:extLst>
            <a:ext uri="{FF2B5EF4-FFF2-40B4-BE49-F238E27FC236}">
              <a16:creationId xmlns:a16="http://schemas.microsoft.com/office/drawing/2014/main" id="{00000000-0008-0000-0200-0000C4000000}"/>
            </a:ext>
          </a:extLst>
        </xdr:cNvPr>
        <xdr:cNvSpPr txBox="1"/>
      </xdr:nvSpPr>
      <xdr:spPr>
        <a:xfrm>
          <a:off x="24552275"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197" name="TextBox 196">
          <a:extLst>
            <a:ext uri="{FF2B5EF4-FFF2-40B4-BE49-F238E27FC236}">
              <a16:creationId xmlns:a16="http://schemas.microsoft.com/office/drawing/2014/main" id="{00000000-0008-0000-0200-0000C5000000}"/>
            </a:ext>
          </a:extLst>
        </xdr:cNvPr>
        <xdr:cNvSpPr txBox="1"/>
      </xdr:nvSpPr>
      <xdr:spPr>
        <a:xfrm>
          <a:off x="38639750"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204" name="TextBox 203">
          <a:extLst>
            <a:ext uri="{FF2B5EF4-FFF2-40B4-BE49-F238E27FC236}">
              <a16:creationId xmlns:a16="http://schemas.microsoft.com/office/drawing/2014/main" id="{00000000-0008-0000-0200-0000CC000000}"/>
            </a:ext>
          </a:extLst>
        </xdr:cNvPr>
        <xdr:cNvSpPr txBox="1"/>
      </xdr:nvSpPr>
      <xdr:spPr>
        <a:xfrm>
          <a:off x="11017250" y="66979800"/>
          <a:ext cx="1239520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205" name="TextBox 204">
          <a:extLst>
            <a:ext uri="{FF2B5EF4-FFF2-40B4-BE49-F238E27FC236}">
              <a16:creationId xmlns:a16="http://schemas.microsoft.com/office/drawing/2014/main" id="{00000000-0008-0000-0200-0000CD000000}"/>
            </a:ext>
          </a:extLst>
        </xdr:cNvPr>
        <xdr:cNvSpPr txBox="1"/>
      </xdr:nvSpPr>
      <xdr:spPr>
        <a:xfrm>
          <a:off x="24552275" y="669798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206" name="TextBox 205">
          <a:extLst>
            <a:ext uri="{FF2B5EF4-FFF2-40B4-BE49-F238E27FC236}">
              <a16:creationId xmlns:a16="http://schemas.microsoft.com/office/drawing/2014/main" id="{00000000-0008-0000-0200-0000CE000000}"/>
            </a:ext>
          </a:extLst>
        </xdr:cNvPr>
        <xdr:cNvSpPr txBox="1"/>
      </xdr:nvSpPr>
      <xdr:spPr>
        <a:xfrm>
          <a:off x="38639750" y="669417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200" name="TextBox 199">
          <a:extLst>
            <a:ext uri="{FF2B5EF4-FFF2-40B4-BE49-F238E27FC236}">
              <a16:creationId xmlns:a16="http://schemas.microsoft.com/office/drawing/2014/main" id="{00000000-0008-0000-0200-0000C8000000}"/>
            </a:ext>
          </a:extLst>
        </xdr:cNvPr>
        <xdr:cNvSpPr txBox="1"/>
      </xdr:nvSpPr>
      <xdr:spPr>
        <a:xfrm>
          <a:off x="11017250" y="66979800"/>
          <a:ext cx="1239520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207" name="TextBox 206">
          <a:extLst>
            <a:ext uri="{FF2B5EF4-FFF2-40B4-BE49-F238E27FC236}">
              <a16:creationId xmlns:a16="http://schemas.microsoft.com/office/drawing/2014/main" id="{00000000-0008-0000-0200-0000CF000000}"/>
            </a:ext>
          </a:extLst>
        </xdr:cNvPr>
        <xdr:cNvSpPr txBox="1"/>
      </xdr:nvSpPr>
      <xdr:spPr>
        <a:xfrm>
          <a:off x="24552275" y="669798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208" name="TextBox 207">
          <a:extLst>
            <a:ext uri="{FF2B5EF4-FFF2-40B4-BE49-F238E27FC236}">
              <a16:creationId xmlns:a16="http://schemas.microsoft.com/office/drawing/2014/main" id="{00000000-0008-0000-0200-0000D0000000}"/>
            </a:ext>
          </a:extLst>
        </xdr:cNvPr>
        <xdr:cNvSpPr txBox="1"/>
      </xdr:nvSpPr>
      <xdr:spPr>
        <a:xfrm>
          <a:off x="38639750" y="669417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209" name="TextBox 208">
          <a:extLst>
            <a:ext uri="{FF2B5EF4-FFF2-40B4-BE49-F238E27FC236}">
              <a16:creationId xmlns:a16="http://schemas.microsoft.com/office/drawing/2014/main" id="{00000000-0008-0000-0200-0000D1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210" name="TextBox 209">
          <a:extLst>
            <a:ext uri="{FF2B5EF4-FFF2-40B4-BE49-F238E27FC236}">
              <a16:creationId xmlns:a16="http://schemas.microsoft.com/office/drawing/2014/main" id="{00000000-0008-0000-0200-0000D2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211" name="TextBox 210">
          <a:extLst>
            <a:ext uri="{FF2B5EF4-FFF2-40B4-BE49-F238E27FC236}">
              <a16:creationId xmlns:a16="http://schemas.microsoft.com/office/drawing/2014/main" id="{00000000-0008-0000-0200-0000D3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212" name="TextBox 211">
          <a:extLst>
            <a:ext uri="{FF2B5EF4-FFF2-40B4-BE49-F238E27FC236}">
              <a16:creationId xmlns:a16="http://schemas.microsoft.com/office/drawing/2014/main" id="{00000000-0008-0000-0200-0000D4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213" name="TextBox 212">
          <a:extLst>
            <a:ext uri="{FF2B5EF4-FFF2-40B4-BE49-F238E27FC236}">
              <a16:creationId xmlns:a16="http://schemas.microsoft.com/office/drawing/2014/main" id="{00000000-0008-0000-0200-0000D5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214" name="TextBox 213">
          <a:extLst>
            <a:ext uri="{FF2B5EF4-FFF2-40B4-BE49-F238E27FC236}">
              <a16:creationId xmlns:a16="http://schemas.microsoft.com/office/drawing/2014/main" id="{00000000-0008-0000-0200-0000D6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1435271</xdr:colOff>
      <xdr:row>151</xdr:row>
      <xdr:rowOff>114300</xdr:rowOff>
    </xdr:to>
    <xdr:sp macro="" textlink="">
      <xdr:nvSpPr>
        <xdr:cNvPr id="215" name="TextBox 214">
          <a:extLst>
            <a:ext uri="{FF2B5EF4-FFF2-40B4-BE49-F238E27FC236}">
              <a16:creationId xmlns:a16="http://schemas.microsoft.com/office/drawing/2014/main" id="{00000000-0008-0000-0200-0000D7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135</xdr:row>
      <xdr:rowOff>38100</xdr:rowOff>
    </xdr:from>
    <xdr:to>
      <xdr:col>19</xdr:col>
      <xdr:colOff>1390655</xdr:colOff>
      <xdr:row>151</xdr:row>
      <xdr:rowOff>231766</xdr:rowOff>
    </xdr:to>
    <xdr:sp macro="" textlink="">
      <xdr:nvSpPr>
        <xdr:cNvPr id="216" name="TextBox 215">
          <a:extLst>
            <a:ext uri="{FF2B5EF4-FFF2-40B4-BE49-F238E27FC236}">
              <a16:creationId xmlns:a16="http://schemas.microsoft.com/office/drawing/2014/main" id="{00000000-0008-0000-0200-0000D8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26</xdr:col>
      <xdr:colOff>5487</xdr:colOff>
      <xdr:row>151</xdr:row>
      <xdr:rowOff>317484</xdr:rowOff>
    </xdr:to>
    <xdr:sp macro="" textlink="">
      <xdr:nvSpPr>
        <xdr:cNvPr id="217" name="TextBox 216">
          <a:extLst>
            <a:ext uri="{FF2B5EF4-FFF2-40B4-BE49-F238E27FC236}">
              <a16:creationId xmlns:a16="http://schemas.microsoft.com/office/drawing/2014/main" id="{00000000-0008-0000-0200-0000D9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102</xdr:row>
      <xdr:rowOff>38100</xdr:rowOff>
    </xdr:from>
    <xdr:to>
      <xdr:col>12</xdr:col>
      <xdr:colOff>1435271</xdr:colOff>
      <xdr:row>118</xdr:row>
      <xdr:rowOff>114300</xdr:rowOff>
    </xdr:to>
    <xdr:sp macro="" textlink="">
      <xdr:nvSpPr>
        <xdr:cNvPr id="218" name="TextBox 217">
          <a:extLst>
            <a:ext uri="{FF2B5EF4-FFF2-40B4-BE49-F238E27FC236}">
              <a16:creationId xmlns:a16="http://schemas.microsoft.com/office/drawing/2014/main" id="{00000000-0008-0000-0200-0000DA000000}"/>
            </a:ext>
          </a:extLst>
        </xdr:cNvPr>
        <xdr:cNvSpPr txBox="1"/>
      </xdr:nvSpPr>
      <xdr:spPr>
        <a:xfrm>
          <a:off x="15459075" y="60712350"/>
          <a:ext cx="8362950"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695325</xdr:colOff>
      <xdr:row>102</xdr:row>
      <xdr:rowOff>38100</xdr:rowOff>
    </xdr:from>
    <xdr:to>
      <xdr:col>19</xdr:col>
      <xdr:colOff>1390655</xdr:colOff>
      <xdr:row>119</xdr:row>
      <xdr:rowOff>2629</xdr:rowOff>
    </xdr:to>
    <xdr:sp macro="" textlink="">
      <xdr:nvSpPr>
        <xdr:cNvPr id="219" name="TextBox 218">
          <a:extLst>
            <a:ext uri="{FF2B5EF4-FFF2-40B4-BE49-F238E27FC236}">
              <a16:creationId xmlns:a16="http://schemas.microsoft.com/office/drawing/2014/main" id="{00000000-0008-0000-0200-0000DB000000}"/>
            </a:ext>
          </a:extLst>
        </xdr:cNvPr>
        <xdr:cNvSpPr txBox="1"/>
      </xdr:nvSpPr>
      <xdr:spPr>
        <a:xfrm>
          <a:off x="24961850" y="60712350"/>
          <a:ext cx="1351915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102</xdr:row>
      <xdr:rowOff>0</xdr:rowOff>
    </xdr:from>
    <xdr:to>
      <xdr:col>26</xdr:col>
      <xdr:colOff>5487</xdr:colOff>
      <xdr:row>119</xdr:row>
      <xdr:rowOff>2629</xdr:rowOff>
    </xdr:to>
    <xdr:sp macro="" textlink="">
      <xdr:nvSpPr>
        <xdr:cNvPr id="220" name="TextBox 219">
          <a:extLst>
            <a:ext uri="{FF2B5EF4-FFF2-40B4-BE49-F238E27FC236}">
              <a16:creationId xmlns:a16="http://schemas.microsoft.com/office/drawing/2014/main" id="{00000000-0008-0000-0200-0000DC000000}"/>
            </a:ext>
          </a:extLst>
        </xdr:cNvPr>
        <xdr:cNvSpPr txBox="1"/>
      </xdr:nvSpPr>
      <xdr:spPr>
        <a:xfrm>
          <a:off x="39811325" y="60674250"/>
          <a:ext cx="13328650"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1343271</xdr:colOff>
      <xdr:row>151</xdr:row>
      <xdr:rowOff>114300</xdr:rowOff>
    </xdr:to>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1323975</xdr:colOff>
      <xdr:row>151</xdr:row>
      <xdr:rowOff>228592</xdr:rowOff>
    </xdr:to>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1815078</xdr:colOff>
      <xdr:row>151</xdr:row>
      <xdr:rowOff>323846</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1422546</xdr:colOff>
      <xdr:row>151</xdr:row>
      <xdr:rowOff>114300</xdr:rowOff>
    </xdr:to>
    <xdr:sp macro="" textlink="">
      <xdr:nvSpPr>
        <xdr:cNvPr id="221" name="TextBox 220">
          <a:extLst>
            <a:ext uri="{FF2B5EF4-FFF2-40B4-BE49-F238E27FC236}">
              <a16:creationId xmlns:a16="http://schemas.microsoft.com/office/drawing/2014/main" id="{00000000-0008-0000-0200-0000DD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701675</xdr:colOff>
      <xdr:row>135</xdr:row>
      <xdr:rowOff>38100</xdr:rowOff>
    </xdr:from>
    <xdr:to>
      <xdr:col>19</xdr:col>
      <xdr:colOff>1384329</xdr:colOff>
      <xdr:row>151</xdr:row>
      <xdr:rowOff>228592</xdr:rowOff>
    </xdr:to>
    <xdr:sp macro="" textlink="">
      <xdr:nvSpPr>
        <xdr:cNvPr id="222" name="TextBox 221">
          <a:extLst>
            <a:ext uri="{FF2B5EF4-FFF2-40B4-BE49-F238E27FC236}">
              <a16:creationId xmlns:a16="http://schemas.microsoft.com/office/drawing/2014/main" id="{00000000-0008-0000-0200-0000DE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25</xdr:col>
      <xdr:colOff>1814994</xdr:colOff>
      <xdr:row>151</xdr:row>
      <xdr:rowOff>314313</xdr:rowOff>
    </xdr:to>
    <xdr:sp macro="" textlink="">
      <xdr:nvSpPr>
        <xdr:cNvPr id="223" name="TextBox 222">
          <a:extLst>
            <a:ext uri="{FF2B5EF4-FFF2-40B4-BE49-F238E27FC236}">
              <a16:creationId xmlns:a16="http://schemas.microsoft.com/office/drawing/2014/main" id="{00000000-0008-0000-0200-0000DF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1422546</xdr:colOff>
      <xdr:row>151</xdr:row>
      <xdr:rowOff>114300</xdr:rowOff>
    </xdr:to>
    <xdr:sp macro="" textlink="">
      <xdr:nvSpPr>
        <xdr:cNvPr id="224" name="TextBox 223">
          <a:extLst>
            <a:ext uri="{FF2B5EF4-FFF2-40B4-BE49-F238E27FC236}">
              <a16:creationId xmlns:a16="http://schemas.microsoft.com/office/drawing/2014/main" id="{00000000-0008-0000-0200-0000E0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701675</xdr:colOff>
      <xdr:row>135</xdr:row>
      <xdr:rowOff>38100</xdr:rowOff>
    </xdr:from>
    <xdr:to>
      <xdr:col>19</xdr:col>
      <xdr:colOff>1384329</xdr:colOff>
      <xdr:row>151</xdr:row>
      <xdr:rowOff>228592</xdr:rowOff>
    </xdr:to>
    <xdr:sp macro="" textlink="">
      <xdr:nvSpPr>
        <xdr:cNvPr id="225" name="TextBox 224">
          <a:extLst>
            <a:ext uri="{FF2B5EF4-FFF2-40B4-BE49-F238E27FC236}">
              <a16:creationId xmlns:a16="http://schemas.microsoft.com/office/drawing/2014/main" id="{00000000-0008-0000-0200-0000E1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25</xdr:col>
      <xdr:colOff>1814994</xdr:colOff>
      <xdr:row>151</xdr:row>
      <xdr:rowOff>314313</xdr:rowOff>
    </xdr:to>
    <xdr:sp macro="" textlink="">
      <xdr:nvSpPr>
        <xdr:cNvPr id="226" name="TextBox 225">
          <a:extLst>
            <a:ext uri="{FF2B5EF4-FFF2-40B4-BE49-F238E27FC236}">
              <a16:creationId xmlns:a16="http://schemas.microsoft.com/office/drawing/2014/main" id="{00000000-0008-0000-0200-0000E2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1422546</xdr:colOff>
      <xdr:row>151</xdr:row>
      <xdr:rowOff>114300</xdr:rowOff>
    </xdr:to>
    <xdr:sp macro="" textlink="">
      <xdr:nvSpPr>
        <xdr:cNvPr id="227" name="TextBox 226">
          <a:extLst>
            <a:ext uri="{FF2B5EF4-FFF2-40B4-BE49-F238E27FC236}">
              <a16:creationId xmlns:a16="http://schemas.microsoft.com/office/drawing/2014/main" id="{00000000-0008-0000-0200-0000E3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701675</xdr:colOff>
      <xdr:row>135</xdr:row>
      <xdr:rowOff>38100</xdr:rowOff>
    </xdr:from>
    <xdr:to>
      <xdr:col>19</xdr:col>
      <xdr:colOff>1384329</xdr:colOff>
      <xdr:row>151</xdr:row>
      <xdr:rowOff>228592</xdr:rowOff>
    </xdr:to>
    <xdr:sp macro="" textlink="">
      <xdr:nvSpPr>
        <xdr:cNvPr id="228" name="TextBox 227">
          <a:extLst>
            <a:ext uri="{FF2B5EF4-FFF2-40B4-BE49-F238E27FC236}">
              <a16:creationId xmlns:a16="http://schemas.microsoft.com/office/drawing/2014/main" id="{00000000-0008-0000-0200-0000E4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25</xdr:col>
      <xdr:colOff>1814994</xdr:colOff>
      <xdr:row>151</xdr:row>
      <xdr:rowOff>314313</xdr:rowOff>
    </xdr:to>
    <xdr:sp macro="" textlink="">
      <xdr:nvSpPr>
        <xdr:cNvPr id="229" name="TextBox 228">
          <a:extLst>
            <a:ext uri="{FF2B5EF4-FFF2-40B4-BE49-F238E27FC236}">
              <a16:creationId xmlns:a16="http://schemas.microsoft.com/office/drawing/2014/main" id="{00000000-0008-0000-0200-0000E5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1422546</xdr:colOff>
      <xdr:row>151</xdr:row>
      <xdr:rowOff>114300</xdr:rowOff>
    </xdr:to>
    <xdr:sp macro="" textlink="">
      <xdr:nvSpPr>
        <xdr:cNvPr id="233" name="TextBox 232">
          <a:extLst>
            <a:ext uri="{FF2B5EF4-FFF2-40B4-BE49-F238E27FC236}">
              <a16:creationId xmlns:a16="http://schemas.microsoft.com/office/drawing/2014/main" id="{00000000-0008-0000-0200-0000E9000000}"/>
            </a:ext>
          </a:extLst>
        </xdr:cNvPr>
        <xdr:cNvSpPr txBox="1"/>
      </xdr:nvSpPr>
      <xdr:spPr>
        <a:xfrm>
          <a:off x="9163050" y="66903600"/>
          <a:ext cx="7648575" cy="575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701675</xdr:colOff>
      <xdr:row>135</xdr:row>
      <xdr:rowOff>38100</xdr:rowOff>
    </xdr:from>
    <xdr:to>
      <xdr:col>19</xdr:col>
      <xdr:colOff>1384329</xdr:colOff>
      <xdr:row>151</xdr:row>
      <xdr:rowOff>228592</xdr:rowOff>
    </xdr:to>
    <xdr:sp macro="" textlink="">
      <xdr:nvSpPr>
        <xdr:cNvPr id="234" name="TextBox 233">
          <a:extLst>
            <a:ext uri="{FF2B5EF4-FFF2-40B4-BE49-F238E27FC236}">
              <a16:creationId xmlns:a16="http://schemas.microsoft.com/office/drawing/2014/main" id="{00000000-0008-0000-0200-0000EA000000}"/>
            </a:ext>
          </a:extLst>
        </xdr:cNvPr>
        <xdr:cNvSpPr txBox="1"/>
      </xdr:nvSpPr>
      <xdr:spPr>
        <a:xfrm>
          <a:off x="17951450" y="66903600"/>
          <a:ext cx="12842875"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400050</xdr:colOff>
      <xdr:row>135</xdr:row>
      <xdr:rowOff>0</xdr:rowOff>
    </xdr:from>
    <xdr:to>
      <xdr:col>25</xdr:col>
      <xdr:colOff>1814994</xdr:colOff>
      <xdr:row>151</xdr:row>
      <xdr:rowOff>314313</xdr:rowOff>
    </xdr:to>
    <xdr:sp macro="" textlink="">
      <xdr:nvSpPr>
        <xdr:cNvPr id="235" name="TextBox 234">
          <a:extLst>
            <a:ext uri="{FF2B5EF4-FFF2-40B4-BE49-F238E27FC236}">
              <a16:creationId xmlns:a16="http://schemas.microsoft.com/office/drawing/2014/main" id="{00000000-0008-0000-0200-0000EB000000}"/>
            </a:ext>
          </a:extLst>
        </xdr:cNvPr>
        <xdr:cNvSpPr txBox="1"/>
      </xdr:nvSpPr>
      <xdr:spPr>
        <a:xfrm>
          <a:off x="32038925" y="66865500"/>
          <a:ext cx="12519025" cy="598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1346347</xdr:colOff>
      <xdr:row>151</xdr:row>
      <xdr:rowOff>114300</xdr:rowOff>
    </xdr:to>
    <xdr:sp macro="" textlink="">
      <xdr:nvSpPr>
        <xdr:cNvPr id="45" name="TextBox 44">
          <a:extLst>
            <a:ext uri="{FF2B5EF4-FFF2-40B4-BE49-F238E27FC236}">
              <a16:creationId xmlns:a16="http://schemas.microsoft.com/office/drawing/2014/main" id="{00000000-0008-0000-0200-00002D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669925</xdr:colOff>
      <xdr:row>135</xdr:row>
      <xdr:rowOff>38100</xdr:rowOff>
    </xdr:from>
    <xdr:to>
      <xdr:col>19</xdr:col>
      <xdr:colOff>1327147</xdr:colOff>
      <xdr:row>151</xdr:row>
      <xdr:rowOff>234944</xdr:rowOff>
    </xdr:to>
    <xdr:sp macro="" textlink="">
      <xdr:nvSpPr>
        <xdr:cNvPr id="198" name="TextBox 197">
          <a:extLst>
            <a:ext uri="{FF2B5EF4-FFF2-40B4-BE49-F238E27FC236}">
              <a16:creationId xmlns:a16="http://schemas.microsoft.com/office/drawing/2014/main" id="{00000000-0008-0000-0200-0000C6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26</xdr:col>
      <xdr:colOff>15127</xdr:colOff>
      <xdr:row>151</xdr:row>
      <xdr:rowOff>320665</xdr:rowOff>
    </xdr:to>
    <xdr:sp macro="" textlink="">
      <xdr:nvSpPr>
        <xdr:cNvPr id="199" name="TextBox 198">
          <a:extLst>
            <a:ext uri="{FF2B5EF4-FFF2-40B4-BE49-F238E27FC236}">
              <a16:creationId xmlns:a16="http://schemas.microsoft.com/office/drawing/2014/main" id="{00000000-0008-0000-0200-0000C7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1339969</xdr:colOff>
      <xdr:row>151</xdr:row>
      <xdr:rowOff>114300</xdr:rowOff>
    </xdr:to>
    <xdr:sp macro="" textlink="">
      <xdr:nvSpPr>
        <xdr:cNvPr id="230" name="TextBox 229">
          <a:extLst>
            <a:ext uri="{FF2B5EF4-FFF2-40B4-BE49-F238E27FC236}">
              <a16:creationId xmlns:a16="http://schemas.microsoft.com/office/drawing/2014/main" id="{00000000-0008-0000-0200-0000E6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676275</xdr:colOff>
      <xdr:row>135</xdr:row>
      <xdr:rowOff>38100</xdr:rowOff>
    </xdr:from>
    <xdr:to>
      <xdr:col>19</xdr:col>
      <xdr:colOff>1311306</xdr:colOff>
      <xdr:row>151</xdr:row>
      <xdr:rowOff>231774</xdr:rowOff>
    </xdr:to>
    <xdr:sp macro="" textlink="">
      <xdr:nvSpPr>
        <xdr:cNvPr id="231" name="TextBox 230">
          <a:extLst>
            <a:ext uri="{FF2B5EF4-FFF2-40B4-BE49-F238E27FC236}">
              <a16:creationId xmlns:a16="http://schemas.microsoft.com/office/drawing/2014/main" id="{00000000-0008-0000-0200-0000E7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26</xdr:col>
      <xdr:colOff>18274</xdr:colOff>
      <xdr:row>151</xdr:row>
      <xdr:rowOff>317492</xdr:rowOff>
    </xdr:to>
    <xdr:sp macro="" textlink="">
      <xdr:nvSpPr>
        <xdr:cNvPr id="232" name="TextBox 231">
          <a:extLst>
            <a:ext uri="{FF2B5EF4-FFF2-40B4-BE49-F238E27FC236}">
              <a16:creationId xmlns:a16="http://schemas.microsoft.com/office/drawing/2014/main" id="{00000000-0008-0000-0200-0000E8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36" name="TextBox 235">
          <a:extLst>
            <a:ext uri="{FF2B5EF4-FFF2-40B4-BE49-F238E27FC236}">
              <a16:creationId xmlns:a16="http://schemas.microsoft.com/office/drawing/2014/main" id="{00000000-0008-0000-0200-0000EC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37" name="TextBox 236">
          <a:extLst>
            <a:ext uri="{FF2B5EF4-FFF2-40B4-BE49-F238E27FC236}">
              <a16:creationId xmlns:a16="http://schemas.microsoft.com/office/drawing/2014/main" id="{00000000-0008-0000-0200-0000ED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38" name="TextBox 237">
          <a:extLst>
            <a:ext uri="{FF2B5EF4-FFF2-40B4-BE49-F238E27FC236}">
              <a16:creationId xmlns:a16="http://schemas.microsoft.com/office/drawing/2014/main" id="{00000000-0008-0000-0200-0000EE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39" name="TextBox 238">
          <a:extLst>
            <a:ext uri="{FF2B5EF4-FFF2-40B4-BE49-F238E27FC236}">
              <a16:creationId xmlns:a16="http://schemas.microsoft.com/office/drawing/2014/main" id="{00000000-0008-0000-0200-0000EF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40" name="TextBox 239">
          <a:extLst>
            <a:ext uri="{FF2B5EF4-FFF2-40B4-BE49-F238E27FC236}">
              <a16:creationId xmlns:a16="http://schemas.microsoft.com/office/drawing/2014/main" id="{00000000-0008-0000-0200-0000F0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41" name="TextBox 240">
          <a:extLst>
            <a:ext uri="{FF2B5EF4-FFF2-40B4-BE49-F238E27FC236}">
              <a16:creationId xmlns:a16="http://schemas.microsoft.com/office/drawing/2014/main" id="{00000000-0008-0000-0200-0000F1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42" name="TextBox 241">
          <a:extLst>
            <a:ext uri="{FF2B5EF4-FFF2-40B4-BE49-F238E27FC236}">
              <a16:creationId xmlns:a16="http://schemas.microsoft.com/office/drawing/2014/main" id="{00000000-0008-0000-0200-0000F2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43" name="TextBox 242">
          <a:extLst>
            <a:ext uri="{FF2B5EF4-FFF2-40B4-BE49-F238E27FC236}">
              <a16:creationId xmlns:a16="http://schemas.microsoft.com/office/drawing/2014/main" id="{00000000-0008-0000-0200-0000F3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44" name="TextBox 243">
          <a:extLst>
            <a:ext uri="{FF2B5EF4-FFF2-40B4-BE49-F238E27FC236}">
              <a16:creationId xmlns:a16="http://schemas.microsoft.com/office/drawing/2014/main" id="{00000000-0008-0000-0200-0000F4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45" name="TextBox 244">
          <a:extLst>
            <a:ext uri="{FF2B5EF4-FFF2-40B4-BE49-F238E27FC236}">
              <a16:creationId xmlns:a16="http://schemas.microsoft.com/office/drawing/2014/main" id="{00000000-0008-0000-0200-0000F5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46" name="TextBox 245">
          <a:extLst>
            <a:ext uri="{FF2B5EF4-FFF2-40B4-BE49-F238E27FC236}">
              <a16:creationId xmlns:a16="http://schemas.microsoft.com/office/drawing/2014/main" id="{00000000-0008-0000-0200-0000F6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47" name="TextBox 246">
          <a:extLst>
            <a:ext uri="{FF2B5EF4-FFF2-40B4-BE49-F238E27FC236}">
              <a16:creationId xmlns:a16="http://schemas.microsoft.com/office/drawing/2014/main" id="{00000000-0008-0000-0200-0000F7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48" name="TextBox 247">
          <a:extLst>
            <a:ext uri="{FF2B5EF4-FFF2-40B4-BE49-F238E27FC236}">
              <a16:creationId xmlns:a16="http://schemas.microsoft.com/office/drawing/2014/main" id="{00000000-0008-0000-0200-0000F8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49" name="TextBox 248">
          <a:extLst>
            <a:ext uri="{FF2B5EF4-FFF2-40B4-BE49-F238E27FC236}">
              <a16:creationId xmlns:a16="http://schemas.microsoft.com/office/drawing/2014/main" id="{00000000-0008-0000-0200-0000F9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50" name="TextBox 249">
          <a:extLst>
            <a:ext uri="{FF2B5EF4-FFF2-40B4-BE49-F238E27FC236}">
              <a16:creationId xmlns:a16="http://schemas.microsoft.com/office/drawing/2014/main" id="{00000000-0008-0000-0200-0000FA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51" name="TextBox 250">
          <a:extLst>
            <a:ext uri="{FF2B5EF4-FFF2-40B4-BE49-F238E27FC236}">
              <a16:creationId xmlns:a16="http://schemas.microsoft.com/office/drawing/2014/main" id="{00000000-0008-0000-0200-0000FB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52" name="TextBox 251">
          <a:extLst>
            <a:ext uri="{FF2B5EF4-FFF2-40B4-BE49-F238E27FC236}">
              <a16:creationId xmlns:a16="http://schemas.microsoft.com/office/drawing/2014/main" id="{00000000-0008-0000-0200-0000FC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53" name="TextBox 252">
          <a:extLst>
            <a:ext uri="{FF2B5EF4-FFF2-40B4-BE49-F238E27FC236}">
              <a16:creationId xmlns:a16="http://schemas.microsoft.com/office/drawing/2014/main" id="{00000000-0008-0000-0200-0000FD00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54" name="TextBox 253">
          <a:extLst>
            <a:ext uri="{FF2B5EF4-FFF2-40B4-BE49-F238E27FC236}">
              <a16:creationId xmlns:a16="http://schemas.microsoft.com/office/drawing/2014/main" id="{00000000-0008-0000-0200-0000FE00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55" name="TextBox 254">
          <a:extLst>
            <a:ext uri="{FF2B5EF4-FFF2-40B4-BE49-F238E27FC236}">
              <a16:creationId xmlns:a16="http://schemas.microsoft.com/office/drawing/2014/main" id="{00000000-0008-0000-0200-0000FF00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56" name="TextBox 255">
          <a:extLst>
            <a:ext uri="{FF2B5EF4-FFF2-40B4-BE49-F238E27FC236}">
              <a16:creationId xmlns:a16="http://schemas.microsoft.com/office/drawing/2014/main" id="{00000000-0008-0000-0200-000000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57" name="TextBox 256">
          <a:extLst>
            <a:ext uri="{FF2B5EF4-FFF2-40B4-BE49-F238E27FC236}">
              <a16:creationId xmlns:a16="http://schemas.microsoft.com/office/drawing/2014/main" id="{00000000-0008-0000-0200-00000101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58" name="TextBox 257">
          <a:extLst>
            <a:ext uri="{FF2B5EF4-FFF2-40B4-BE49-F238E27FC236}">
              <a16:creationId xmlns:a16="http://schemas.microsoft.com/office/drawing/2014/main" id="{00000000-0008-0000-0200-00000201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59" name="TextBox 258">
          <a:extLst>
            <a:ext uri="{FF2B5EF4-FFF2-40B4-BE49-F238E27FC236}">
              <a16:creationId xmlns:a16="http://schemas.microsoft.com/office/drawing/2014/main" id="{00000000-0008-0000-0200-000003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60" name="TextBox 259">
          <a:extLst>
            <a:ext uri="{FF2B5EF4-FFF2-40B4-BE49-F238E27FC236}">
              <a16:creationId xmlns:a16="http://schemas.microsoft.com/office/drawing/2014/main" id="{00000000-0008-0000-0200-00000401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61" name="TextBox 260">
          <a:extLst>
            <a:ext uri="{FF2B5EF4-FFF2-40B4-BE49-F238E27FC236}">
              <a16:creationId xmlns:a16="http://schemas.microsoft.com/office/drawing/2014/main" id="{00000000-0008-0000-0200-00000501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62" name="TextBox 261">
          <a:extLst>
            <a:ext uri="{FF2B5EF4-FFF2-40B4-BE49-F238E27FC236}">
              <a16:creationId xmlns:a16="http://schemas.microsoft.com/office/drawing/2014/main" id="{00000000-0008-0000-0200-000006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63" name="TextBox 262">
          <a:extLst>
            <a:ext uri="{FF2B5EF4-FFF2-40B4-BE49-F238E27FC236}">
              <a16:creationId xmlns:a16="http://schemas.microsoft.com/office/drawing/2014/main" id="{00000000-0008-0000-0200-00000701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64" name="TextBox 263">
          <a:extLst>
            <a:ext uri="{FF2B5EF4-FFF2-40B4-BE49-F238E27FC236}">
              <a16:creationId xmlns:a16="http://schemas.microsoft.com/office/drawing/2014/main" id="{00000000-0008-0000-0200-00000801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65" name="TextBox 264">
          <a:extLst>
            <a:ext uri="{FF2B5EF4-FFF2-40B4-BE49-F238E27FC236}">
              <a16:creationId xmlns:a16="http://schemas.microsoft.com/office/drawing/2014/main" id="{00000000-0008-0000-0200-000009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66" name="TextBox 265">
          <a:extLst>
            <a:ext uri="{FF2B5EF4-FFF2-40B4-BE49-F238E27FC236}">
              <a16:creationId xmlns:a16="http://schemas.microsoft.com/office/drawing/2014/main" id="{00000000-0008-0000-0200-00000A01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67" name="TextBox 266">
          <a:extLst>
            <a:ext uri="{FF2B5EF4-FFF2-40B4-BE49-F238E27FC236}">
              <a16:creationId xmlns:a16="http://schemas.microsoft.com/office/drawing/2014/main" id="{00000000-0008-0000-0200-00000B01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68" name="TextBox 267">
          <a:extLst>
            <a:ext uri="{FF2B5EF4-FFF2-40B4-BE49-F238E27FC236}">
              <a16:creationId xmlns:a16="http://schemas.microsoft.com/office/drawing/2014/main" id="{00000000-0008-0000-0200-00000C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69" name="TextBox 268">
          <a:extLst>
            <a:ext uri="{FF2B5EF4-FFF2-40B4-BE49-F238E27FC236}">
              <a16:creationId xmlns:a16="http://schemas.microsoft.com/office/drawing/2014/main" id="{00000000-0008-0000-0200-00000D01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70" name="TextBox 269">
          <a:extLst>
            <a:ext uri="{FF2B5EF4-FFF2-40B4-BE49-F238E27FC236}">
              <a16:creationId xmlns:a16="http://schemas.microsoft.com/office/drawing/2014/main" id="{00000000-0008-0000-0200-00000E01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71" name="TextBox 270">
          <a:extLst>
            <a:ext uri="{FF2B5EF4-FFF2-40B4-BE49-F238E27FC236}">
              <a16:creationId xmlns:a16="http://schemas.microsoft.com/office/drawing/2014/main" id="{00000000-0008-0000-0200-00000F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twoCellAnchor>
    <xdr:from>
      <xdr:col>8</xdr:col>
      <xdr:colOff>0</xdr:colOff>
      <xdr:row>135</xdr:row>
      <xdr:rowOff>38100</xdr:rowOff>
    </xdr:from>
    <xdr:to>
      <xdr:col>12</xdr:col>
      <xdr:colOff>1343036</xdr:colOff>
      <xdr:row>151</xdr:row>
      <xdr:rowOff>114300</xdr:rowOff>
    </xdr:to>
    <xdr:sp macro="" textlink="">
      <xdr:nvSpPr>
        <xdr:cNvPr id="272" name="TextBox 271">
          <a:extLst>
            <a:ext uri="{FF2B5EF4-FFF2-40B4-BE49-F238E27FC236}">
              <a16:creationId xmlns:a16="http://schemas.microsoft.com/office/drawing/2014/main" id="{00000000-0008-0000-0200-000010010000}"/>
            </a:ext>
          </a:extLst>
        </xdr:cNvPr>
        <xdr:cNvSpPr txBox="1"/>
      </xdr:nvSpPr>
      <xdr:spPr>
        <a:xfrm>
          <a:off x="9594850" y="66440050"/>
          <a:ext cx="794385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5600"/>
            </a:lnSpc>
          </a:pPr>
          <a:r>
            <a:rPr lang="en-US" sz="5000"/>
            <a:t>Prepared by:</a:t>
          </a:r>
        </a:p>
        <a:p>
          <a:pPr>
            <a:lnSpc>
              <a:spcPts val="5600"/>
            </a:lnSpc>
          </a:pPr>
          <a:endParaRPr lang="en-US" sz="5000"/>
        </a:p>
        <a:p>
          <a:pPr>
            <a:lnSpc>
              <a:spcPts val="5600"/>
            </a:lnSpc>
          </a:pPr>
          <a:endParaRPr lang="en-US" sz="5000"/>
        </a:p>
        <a:p>
          <a:pPr>
            <a:lnSpc>
              <a:spcPts val="5600"/>
            </a:lnSpc>
          </a:pPr>
          <a:r>
            <a:rPr lang="en-US" sz="5000"/>
            <a:t>_____________________</a:t>
          </a:r>
        </a:p>
        <a:p>
          <a:pPr>
            <a:lnSpc>
              <a:spcPts val="5700"/>
            </a:lnSpc>
          </a:pPr>
          <a:r>
            <a:rPr lang="en-US" sz="5000"/>
            <a:t>Assistant </a:t>
          </a:r>
          <a:br>
            <a:rPr lang="en-US" sz="5000"/>
          </a:br>
          <a:r>
            <a:rPr lang="en-US" sz="5000"/>
            <a:t>Accounting</a:t>
          </a:r>
          <a:r>
            <a:rPr lang="en-US" sz="5000" baseline="0"/>
            <a:t> Department</a:t>
          </a:r>
          <a:endParaRPr lang="en-US" sz="5000"/>
        </a:p>
        <a:p>
          <a:pPr>
            <a:lnSpc>
              <a:spcPts val="5700"/>
            </a:lnSpc>
          </a:pPr>
          <a:endParaRPr lang="en-US" sz="5000"/>
        </a:p>
        <a:p>
          <a:pPr>
            <a:lnSpc>
              <a:spcPts val="1100"/>
            </a:lnSpc>
          </a:pPr>
          <a:endParaRPr lang="en-US" sz="1100"/>
        </a:p>
      </xdr:txBody>
    </xdr:sp>
    <xdr:clientData/>
  </xdr:twoCellAnchor>
  <xdr:twoCellAnchor>
    <xdr:from>
      <xdr:col>13</xdr:col>
      <xdr:colOff>673100</xdr:colOff>
      <xdr:row>135</xdr:row>
      <xdr:rowOff>38100</xdr:rowOff>
    </xdr:from>
    <xdr:to>
      <xdr:col>19</xdr:col>
      <xdr:colOff>1314450</xdr:colOff>
      <xdr:row>151</xdr:row>
      <xdr:rowOff>228600</xdr:rowOff>
    </xdr:to>
    <xdr:sp macro="" textlink="">
      <xdr:nvSpPr>
        <xdr:cNvPr id="273" name="TextBox 272">
          <a:extLst>
            <a:ext uri="{FF2B5EF4-FFF2-40B4-BE49-F238E27FC236}">
              <a16:creationId xmlns:a16="http://schemas.microsoft.com/office/drawing/2014/main" id="{00000000-0008-0000-0200-000011010000}"/>
            </a:ext>
          </a:extLst>
        </xdr:cNvPr>
        <xdr:cNvSpPr txBox="1"/>
      </xdr:nvSpPr>
      <xdr:spPr>
        <a:xfrm>
          <a:off x="18764250" y="66440050"/>
          <a:ext cx="1341755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Reviewed by:</a:t>
          </a:r>
        </a:p>
        <a:p>
          <a:endParaRPr lang="en-US" sz="5000"/>
        </a:p>
        <a:p>
          <a:endParaRPr lang="en-US" sz="5000"/>
        </a:p>
        <a:p>
          <a:r>
            <a:rPr lang="en-US" sz="5000"/>
            <a:t>_______________________________</a:t>
          </a:r>
        </a:p>
        <a:p>
          <a:r>
            <a:rPr lang="en-US" sz="5000"/>
            <a:t>Manager</a:t>
          </a:r>
        </a:p>
        <a:p>
          <a:r>
            <a:rPr lang="en-US" sz="5000"/>
            <a:t>Accounting</a:t>
          </a:r>
          <a:r>
            <a:rPr lang="en-US" sz="5000" baseline="0"/>
            <a:t> Department</a:t>
          </a:r>
          <a:endParaRPr lang="en-US" sz="5000"/>
        </a:p>
        <a:p>
          <a:endParaRPr lang="en-US" sz="5000"/>
        </a:p>
        <a:p>
          <a:endParaRPr lang="en-US" sz="1100"/>
        </a:p>
      </xdr:txBody>
    </xdr:sp>
    <xdr:clientData/>
  </xdr:twoCellAnchor>
  <xdr:twoCellAnchor>
    <xdr:from>
      <xdr:col>20</xdr:col>
      <xdr:colOff>387350</xdr:colOff>
      <xdr:row>135</xdr:row>
      <xdr:rowOff>0</xdr:rowOff>
    </xdr:from>
    <xdr:to>
      <xdr:col>25</xdr:col>
      <xdr:colOff>1822172</xdr:colOff>
      <xdr:row>151</xdr:row>
      <xdr:rowOff>314321</xdr:rowOff>
    </xdr:to>
    <xdr:sp macro="" textlink="">
      <xdr:nvSpPr>
        <xdr:cNvPr id="274" name="TextBox 273">
          <a:extLst>
            <a:ext uri="{FF2B5EF4-FFF2-40B4-BE49-F238E27FC236}">
              <a16:creationId xmlns:a16="http://schemas.microsoft.com/office/drawing/2014/main" id="{00000000-0008-0000-0200-000012010000}"/>
            </a:ext>
          </a:extLst>
        </xdr:cNvPr>
        <xdr:cNvSpPr txBox="1"/>
      </xdr:nvSpPr>
      <xdr:spPr>
        <a:xfrm>
          <a:off x="33534350" y="66401950"/>
          <a:ext cx="13131800" cy="594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t>Approved by:</a:t>
          </a:r>
        </a:p>
        <a:p>
          <a:endParaRPr lang="en-US" sz="5000"/>
        </a:p>
        <a:p>
          <a:endParaRPr lang="en-US" sz="5000"/>
        </a:p>
        <a:p>
          <a:r>
            <a:rPr lang="en-US" sz="5000"/>
            <a:t>_______________________________</a:t>
          </a:r>
        </a:p>
        <a:p>
          <a:r>
            <a:rPr lang="en-US" sz="5000"/>
            <a:t>Deputy General Manager</a:t>
          </a:r>
        </a:p>
        <a:p>
          <a:endParaRPr lang="en-US" sz="500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435187</xdr:colOff>
      <xdr:row>4</xdr:row>
      <xdr:rowOff>456</xdr:rowOff>
    </xdr:from>
    <xdr:to>
      <xdr:col>20</xdr:col>
      <xdr:colOff>609188</xdr:colOff>
      <xdr:row>5</xdr:row>
      <xdr:rowOff>169315</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2" name="TextBox 31">
          <a:extLst>
            <a:ext uri="{FF2B5EF4-FFF2-40B4-BE49-F238E27FC236}">
              <a16:creationId xmlns:a16="http://schemas.microsoft.com/office/drawing/2014/main" id="{00000000-0008-0000-0300-000020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4" name="TextBox 33">
          <a:extLst>
            <a:ext uri="{FF2B5EF4-FFF2-40B4-BE49-F238E27FC236}">
              <a16:creationId xmlns:a16="http://schemas.microsoft.com/office/drawing/2014/main" id="{00000000-0008-0000-0300-000022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5" name="TextBox 34">
          <a:extLst>
            <a:ext uri="{FF2B5EF4-FFF2-40B4-BE49-F238E27FC236}">
              <a16:creationId xmlns:a16="http://schemas.microsoft.com/office/drawing/2014/main" id="{00000000-0008-0000-0300-000023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6" name="TextBox 35">
          <a:extLst>
            <a:ext uri="{FF2B5EF4-FFF2-40B4-BE49-F238E27FC236}">
              <a16:creationId xmlns:a16="http://schemas.microsoft.com/office/drawing/2014/main" id="{00000000-0008-0000-0300-000024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8" name="TextBox 37">
          <a:extLst>
            <a:ext uri="{FF2B5EF4-FFF2-40B4-BE49-F238E27FC236}">
              <a16:creationId xmlns:a16="http://schemas.microsoft.com/office/drawing/2014/main" id="{00000000-0008-0000-0300-000026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1" name="TextBox 40">
          <a:extLst>
            <a:ext uri="{FF2B5EF4-FFF2-40B4-BE49-F238E27FC236}">
              <a16:creationId xmlns:a16="http://schemas.microsoft.com/office/drawing/2014/main" id="{00000000-0008-0000-0300-000029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2" name="TextBox 41">
          <a:extLst>
            <a:ext uri="{FF2B5EF4-FFF2-40B4-BE49-F238E27FC236}">
              <a16:creationId xmlns:a16="http://schemas.microsoft.com/office/drawing/2014/main" id="{00000000-0008-0000-0300-00002A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3" name="TextBox 42">
          <a:extLst>
            <a:ext uri="{FF2B5EF4-FFF2-40B4-BE49-F238E27FC236}">
              <a16:creationId xmlns:a16="http://schemas.microsoft.com/office/drawing/2014/main" id="{00000000-0008-0000-0300-00002B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6" name="TextBox 45">
          <a:extLst>
            <a:ext uri="{FF2B5EF4-FFF2-40B4-BE49-F238E27FC236}">
              <a16:creationId xmlns:a16="http://schemas.microsoft.com/office/drawing/2014/main" id="{00000000-0008-0000-0300-00002E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7" name="TextBox 46">
          <a:extLst>
            <a:ext uri="{FF2B5EF4-FFF2-40B4-BE49-F238E27FC236}">
              <a16:creationId xmlns:a16="http://schemas.microsoft.com/office/drawing/2014/main" id="{00000000-0008-0000-0300-00002F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49" name="TextBox 48">
          <a:extLst>
            <a:ext uri="{FF2B5EF4-FFF2-40B4-BE49-F238E27FC236}">
              <a16:creationId xmlns:a16="http://schemas.microsoft.com/office/drawing/2014/main" id="{00000000-0008-0000-0300-000031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1" name="TextBox 50">
          <a:extLst>
            <a:ext uri="{FF2B5EF4-FFF2-40B4-BE49-F238E27FC236}">
              <a16:creationId xmlns:a16="http://schemas.microsoft.com/office/drawing/2014/main" id="{00000000-0008-0000-0300-000033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2" name="TextBox 51">
          <a:extLst>
            <a:ext uri="{FF2B5EF4-FFF2-40B4-BE49-F238E27FC236}">
              <a16:creationId xmlns:a16="http://schemas.microsoft.com/office/drawing/2014/main" id="{00000000-0008-0000-0300-000034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3" name="TextBox 52">
          <a:extLst>
            <a:ext uri="{FF2B5EF4-FFF2-40B4-BE49-F238E27FC236}">
              <a16:creationId xmlns:a16="http://schemas.microsoft.com/office/drawing/2014/main" id="{00000000-0008-0000-0300-000035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4" name="TextBox 53">
          <a:extLst>
            <a:ext uri="{FF2B5EF4-FFF2-40B4-BE49-F238E27FC236}">
              <a16:creationId xmlns:a16="http://schemas.microsoft.com/office/drawing/2014/main" id="{00000000-0008-0000-0300-000036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5" name="TextBox 54">
          <a:extLst>
            <a:ext uri="{FF2B5EF4-FFF2-40B4-BE49-F238E27FC236}">
              <a16:creationId xmlns:a16="http://schemas.microsoft.com/office/drawing/2014/main" id="{00000000-0008-0000-0300-000037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6" name="TextBox 55">
          <a:extLst>
            <a:ext uri="{FF2B5EF4-FFF2-40B4-BE49-F238E27FC236}">
              <a16:creationId xmlns:a16="http://schemas.microsoft.com/office/drawing/2014/main" id="{00000000-0008-0000-0300-000038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8" name="TextBox 57">
          <a:extLst>
            <a:ext uri="{FF2B5EF4-FFF2-40B4-BE49-F238E27FC236}">
              <a16:creationId xmlns:a16="http://schemas.microsoft.com/office/drawing/2014/main" id="{00000000-0008-0000-0300-00003A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0" name="TextBox 59">
          <a:extLst>
            <a:ext uri="{FF2B5EF4-FFF2-40B4-BE49-F238E27FC236}">
              <a16:creationId xmlns:a16="http://schemas.microsoft.com/office/drawing/2014/main" id="{00000000-0008-0000-0300-00003C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2" name="TextBox 61">
          <a:extLst>
            <a:ext uri="{FF2B5EF4-FFF2-40B4-BE49-F238E27FC236}">
              <a16:creationId xmlns:a16="http://schemas.microsoft.com/office/drawing/2014/main" id="{00000000-0008-0000-0300-00003E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3" name="TextBox 62">
          <a:extLst>
            <a:ext uri="{FF2B5EF4-FFF2-40B4-BE49-F238E27FC236}">
              <a16:creationId xmlns:a16="http://schemas.microsoft.com/office/drawing/2014/main" id="{00000000-0008-0000-0300-00003F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4" name="TextBox 63">
          <a:extLst>
            <a:ext uri="{FF2B5EF4-FFF2-40B4-BE49-F238E27FC236}">
              <a16:creationId xmlns:a16="http://schemas.microsoft.com/office/drawing/2014/main" id="{00000000-0008-0000-0300-000040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5" name="TextBox 64">
          <a:extLst>
            <a:ext uri="{FF2B5EF4-FFF2-40B4-BE49-F238E27FC236}">
              <a16:creationId xmlns:a16="http://schemas.microsoft.com/office/drawing/2014/main" id="{00000000-0008-0000-0300-000041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6" name="TextBox 65">
          <a:extLst>
            <a:ext uri="{FF2B5EF4-FFF2-40B4-BE49-F238E27FC236}">
              <a16:creationId xmlns:a16="http://schemas.microsoft.com/office/drawing/2014/main" id="{00000000-0008-0000-0300-000042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7" name="TextBox 66">
          <a:extLst>
            <a:ext uri="{FF2B5EF4-FFF2-40B4-BE49-F238E27FC236}">
              <a16:creationId xmlns:a16="http://schemas.microsoft.com/office/drawing/2014/main" id="{00000000-0008-0000-0300-000043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8" name="TextBox 67">
          <a:extLst>
            <a:ext uri="{FF2B5EF4-FFF2-40B4-BE49-F238E27FC236}">
              <a16:creationId xmlns:a16="http://schemas.microsoft.com/office/drawing/2014/main" id="{00000000-0008-0000-0300-000044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69" name="TextBox 68">
          <a:extLst>
            <a:ext uri="{FF2B5EF4-FFF2-40B4-BE49-F238E27FC236}">
              <a16:creationId xmlns:a16="http://schemas.microsoft.com/office/drawing/2014/main" id="{00000000-0008-0000-0300-000045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0" name="TextBox 69">
          <a:extLst>
            <a:ext uri="{FF2B5EF4-FFF2-40B4-BE49-F238E27FC236}">
              <a16:creationId xmlns:a16="http://schemas.microsoft.com/office/drawing/2014/main" id="{00000000-0008-0000-0300-000046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1" name="TextBox 70">
          <a:extLst>
            <a:ext uri="{FF2B5EF4-FFF2-40B4-BE49-F238E27FC236}">
              <a16:creationId xmlns:a16="http://schemas.microsoft.com/office/drawing/2014/main" id="{00000000-0008-0000-0300-000047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2" name="TextBox 71">
          <a:extLst>
            <a:ext uri="{FF2B5EF4-FFF2-40B4-BE49-F238E27FC236}">
              <a16:creationId xmlns:a16="http://schemas.microsoft.com/office/drawing/2014/main" id="{00000000-0008-0000-0300-000048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3" name="TextBox 72">
          <a:extLst>
            <a:ext uri="{FF2B5EF4-FFF2-40B4-BE49-F238E27FC236}">
              <a16:creationId xmlns:a16="http://schemas.microsoft.com/office/drawing/2014/main" id="{00000000-0008-0000-0300-000049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4" name="TextBox 73">
          <a:extLst>
            <a:ext uri="{FF2B5EF4-FFF2-40B4-BE49-F238E27FC236}">
              <a16:creationId xmlns:a16="http://schemas.microsoft.com/office/drawing/2014/main" id="{00000000-0008-0000-0300-00004A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5" name="TextBox 74">
          <a:extLst>
            <a:ext uri="{FF2B5EF4-FFF2-40B4-BE49-F238E27FC236}">
              <a16:creationId xmlns:a16="http://schemas.microsoft.com/office/drawing/2014/main" id="{00000000-0008-0000-0300-00004B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6" name="TextBox 75">
          <a:extLst>
            <a:ext uri="{FF2B5EF4-FFF2-40B4-BE49-F238E27FC236}">
              <a16:creationId xmlns:a16="http://schemas.microsoft.com/office/drawing/2014/main" id="{00000000-0008-0000-0300-00004C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7" name="TextBox 76">
          <a:extLst>
            <a:ext uri="{FF2B5EF4-FFF2-40B4-BE49-F238E27FC236}">
              <a16:creationId xmlns:a16="http://schemas.microsoft.com/office/drawing/2014/main" id="{00000000-0008-0000-0300-00004D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8" name="TextBox 77">
          <a:extLst>
            <a:ext uri="{FF2B5EF4-FFF2-40B4-BE49-F238E27FC236}">
              <a16:creationId xmlns:a16="http://schemas.microsoft.com/office/drawing/2014/main" id="{00000000-0008-0000-0300-00004E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79" name="TextBox 78">
          <a:extLst>
            <a:ext uri="{FF2B5EF4-FFF2-40B4-BE49-F238E27FC236}">
              <a16:creationId xmlns:a16="http://schemas.microsoft.com/office/drawing/2014/main" id="{00000000-0008-0000-0300-00004F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0" name="TextBox 79">
          <a:extLst>
            <a:ext uri="{FF2B5EF4-FFF2-40B4-BE49-F238E27FC236}">
              <a16:creationId xmlns:a16="http://schemas.microsoft.com/office/drawing/2014/main" id="{00000000-0008-0000-0300-000050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1" name="TextBox 80">
          <a:extLst>
            <a:ext uri="{FF2B5EF4-FFF2-40B4-BE49-F238E27FC236}">
              <a16:creationId xmlns:a16="http://schemas.microsoft.com/office/drawing/2014/main" id="{00000000-0008-0000-0300-000051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2" name="TextBox 81">
          <a:extLst>
            <a:ext uri="{FF2B5EF4-FFF2-40B4-BE49-F238E27FC236}">
              <a16:creationId xmlns:a16="http://schemas.microsoft.com/office/drawing/2014/main" id="{00000000-0008-0000-0300-000052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3" name="TextBox 82">
          <a:extLst>
            <a:ext uri="{FF2B5EF4-FFF2-40B4-BE49-F238E27FC236}">
              <a16:creationId xmlns:a16="http://schemas.microsoft.com/office/drawing/2014/main" id="{00000000-0008-0000-0300-000053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4" name="TextBox 83">
          <a:extLst>
            <a:ext uri="{FF2B5EF4-FFF2-40B4-BE49-F238E27FC236}">
              <a16:creationId xmlns:a16="http://schemas.microsoft.com/office/drawing/2014/main" id="{00000000-0008-0000-0300-000054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5" name="TextBox 84">
          <a:extLst>
            <a:ext uri="{FF2B5EF4-FFF2-40B4-BE49-F238E27FC236}">
              <a16:creationId xmlns:a16="http://schemas.microsoft.com/office/drawing/2014/main" id="{00000000-0008-0000-0300-000055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6" name="TextBox 85">
          <a:extLst>
            <a:ext uri="{FF2B5EF4-FFF2-40B4-BE49-F238E27FC236}">
              <a16:creationId xmlns:a16="http://schemas.microsoft.com/office/drawing/2014/main" id="{00000000-0008-0000-0300-000056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7" name="TextBox 86">
          <a:extLst>
            <a:ext uri="{FF2B5EF4-FFF2-40B4-BE49-F238E27FC236}">
              <a16:creationId xmlns:a16="http://schemas.microsoft.com/office/drawing/2014/main" id="{00000000-0008-0000-0300-000057000000}"/>
            </a:ext>
          </a:extLst>
        </xdr:cNvPr>
        <xdr:cNvSpPr txBox="1"/>
      </xdr:nvSpPr>
      <xdr:spPr>
        <a:xfrm>
          <a:off x="17465887"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8" name="TextBox 87">
          <a:extLst>
            <a:ext uri="{FF2B5EF4-FFF2-40B4-BE49-F238E27FC236}">
              <a16:creationId xmlns:a16="http://schemas.microsoft.com/office/drawing/2014/main" id="{00000000-0008-0000-0300-000058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89" name="TextBox 88">
          <a:extLst>
            <a:ext uri="{FF2B5EF4-FFF2-40B4-BE49-F238E27FC236}">
              <a16:creationId xmlns:a16="http://schemas.microsoft.com/office/drawing/2014/main" id="{00000000-0008-0000-0300-000059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0" name="TextBox 89">
          <a:extLst>
            <a:ext uri="{FF2B5EF4-FFF2-40B4-BE49-F238E27FC236}">
              <a16:creationId xmlns:a16="http://schemas.microsoft.com/office/drawing/2014/main" id="{00000000-0008-0000-0300-00005A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1" name="TextBox 90">
          <a:extLst>
            <a:ext uri="{FF2B5EF4-FFF2-40B4-BE49-F238E27FC236}">
              <a16:creationId xmlns:a16="http://schemas.microsoft.com/office/drawing/2014/main" id="{00000000-0008-0000-0300-00005B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2" name="TextBox 91">
          <a:extLst>
            <a:ext uri="{FF2B5EF4-FFF2-40B4-BE49-F238E27FC236}">
              <a16:creationId xmlns:a16="http://schemas.microsoft.com/office/drawing/2014/main" id="{00000000-0008-0000-0300-00005C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3" name="TextBox 92">
          <a:extLst>
            <a:ext uri="{FF2B5EF4-FFF2-40B4-BE49-F238E27FC236}">
              <a16:creationId xmlns:a16="http://schemas.microsoft.com/office/drawing/2014/main" id="{00000000-0008-0000-0300-00005D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4" name="TextBox 93">
          <a:extLst>
            <a:ext uri="{FF2B5EF4-FFF2-40B4-BE49-F238E27FC236}">
              <a16:creationId xmlns:a16="http://schemas.microsoft.com/office/drawing/2014/main" id="{00000000-0008-0000-0300-00005E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5" name="TextBox 94">
          <a:extLst>
            <a:ext uri="{FF2B5EF4-FFF2-40B4-BE49-F238E27FC236}">
              <a16:creationId xmlns:a16="http://schemas.microsoft.com/office/drawing/2014/main" id="{00000000-0008-0000-0300-00005F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6" name="TextBox 95">
          <a:extLst>
            <a:ext uri="{FF2B5EF4-FFF2-40B4-BE49-F238E27FC236}">
              <a16:creationId xmlns:a16="http://schemas.microsoft.com/office/drawing/2014/main" id="{00000000-0008-0000-0300-000060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7" name="TextBox 96">
          <a:extLst>
            <a:ext uri="{FF2B5EF4-FFF2-40B4-BE49-F238E27FC236}">
              <a16:creationId xmlns:a16="http://schemas.microsoft.com/office/drawing/2014/main" id="{00000000-0008-0000-0300-000061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8" name="TextBox 97">
          <a:extLst>
            <a:ext uri="{FF2B5EF4-FFF2-40B4-BE49-F238E27FC236}">
              <a16:creationId xmlns:a16="http://schemas.microsoft.com/office/drawing/2014/main" id="{00000000-0008-0000-0300-000062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99" name="TextBox 98">
          <a:extLst>
            <a:ext uri="{FF2B5EF4-FFF2-40B4-BE49-F238E27FC236}">
              <a16:creationId xmlns:a16="http://schemas.microsoft.com/office/drawing/2014/main" id="{00000000-0008-0000-0300-000063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0" name="TextBox 99">
          <a:extLst>
            <a:ext uri="{FF2B5EF4-FFF2-40B4-BE49-F238E27FC236}">
              <a16:creationId xmlns:a16="http://schemas.microsoft.com/office/drawing/2014/main" id="{00000000-0008-0000-0300-000064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1" name="TextBox 100">
          <a:extLst>
            <a:ext uri="{FF2B5EF4-FFF2-40B4-BE49-F238E27FC236}">
              <a16:creationId xmlns:a16="http://schemas.microsoft.com/office/drawing/2014/main" id="{00000000-0008-0000-0300-000065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2" name="TextBox 101">
          <a:extLst>
            <a:ext uri="{FF2B5EF4-FFF2-40B4-BE49-F238E27FC236}">
              <a16:creationId xmlns:a16="http://schemas.microsoft.com/office/drawing/2014/main" id="{00000000-0008-0000-0300-000066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3" name="TextBox 102">
          <a:extLst>
            <a:ext uri="{FF2B5EF4-FFF2-40B4-BE49-F238E27FC236}">
              <a16:creationId xmlns:a16="http://schemas.microsoft.com/office/drawing/2014/main" id="{00000000-0008-0000-0300-000067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4" name="TextBox 103">
          <a:extLst>
            <a:ext uri="{FF2B5EF4-FFF2-40B4-BE49-F238E27FC236}">
              <a16:creationId xmlns:a16="http://schemas.microsoft.com/office/drawing/2014/main" id="{00000000-0008-0000-0300-000068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5" name="TextBox 104">
          <a:extLst>
            <a:ext uri="{FF2B5EF4-FFF2-40B4-BE49-F238E27FC236}">
              <a16:creationId xmlns:a16="http://schemas.microsoft.com/office/drawing/2014/main" id="{00000000-0008-0000-0300-000069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6" name="TextBox 105">
          <a:extLst>
            <a:ext uri="{FF2B5EF4-FFF2-40B4-BE49-F238E27FC236}">
              <a16:creationId xmlns:a16="http://schemas.microsoft.com/office/drawing/2014/main" id="{00000000-0008-0000-0300-00006A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7" name="TextBox 106">
          <a:extLst>
            <a:ext uri="{FF2B5EF4-FFF2-40B4-BE49-F238E27FC236}">
              <a16:creationId xmlns:a16="http://schemas.microsoft.com/office/drawing/2014/main" id="{00000000-0008-0000-0300-00006B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8" name="TextBox 107">
          <a:extLst>
            <a:ext uri="{FF2B5EF4-FFF2-40B4-BE49-F238E27FC236}">
              <a16:creationId xmlns:a16="http://schemas.microsoft.com/office/drawing/2014/main" id="{00000000-0008-0000-0300-00006C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09" name="TextBox 108">
          <a:extLst>
            <a:ext uri="{FF2B5EF4-FFF2-40B4-BE49-F238E27FC236}">
              <a16:creationId xmlns:a16="http://schemas.microsoft.com/office/drawing/2014/main" id="{00000000-0008-0000-0300-00006D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0" name="TextBox 109">
          <a:extLst>
            <a:ext uri="{FF2B5EF4-FFF2-40B4-BE49-F238E27FC236}">
              <a16:creationId xmlns:a16="http://schemas.microsoft.com/office/drawing/2014/main" id="{00000000-0008-0000-0300-00006E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1" name="TextBox 110">
          <a:extLst>
            <a:ext uri="{FF2B5EF4-FFF2-40B4-BE49-F238E27FC236}">
              <a16:creationId xmlns:a16="http://schemas.microsoft.com/office/drawing/2014/main" id="{00000000-0008-0000-0300-00006F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2" name="TextBox 111">
          <a:extLst>
            <a:ext uri="{FF2B5EF4-FFF2-40B4-BE49-F238E27FC236}">
              <a16:creationId xmlns:a16="http://schemas.microsoft.com/office/drawing/2014/main" id="{00000000-0008-0000-0300-000070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3" name="TextBox 112">
          <a:extLst>
            <a:ext uri="{FF2B5EF4-FFF2-40B4-BE49-F238E27FC236}">
              <a16:creationId xmlns:a16="http://schemas.microsoft.com/office/drawing/2014/main" id="{00000000-0008-0000-0300-000071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4" name="TextBox 113">
          <a:extLst>
            <a:ext uri="{FF2B5EF4-FFF2-40B4-BE49-F238E27FC236}">
              <a16:creationId xmlns:a16="http://schemas.microsoft.com/office/drawing/2014/main" id="{00000000-0008-0000-0300-000072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5" name="TextBox 114">
          <a:extLst>
            <a:ext uri="{FF2B5EF4-FFF2-40B4-BE49-F238E27FC236}">
              <a16:creationId xmlns:a16="http://schemas.microsoft.com/office/drawing/2014/main" id="{00000000-0008-0000-0300-000073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6" name="TextBox 115">
          <a:extLst>
            <a:ext uri="{FF2B5EF4-FFF2-40B4-BE49-F238E27FC236}">
              <a16:creationId xmlns:a16="http://schemas.microsoft.com/office/drawing/2014/main" id="{00000000-0008-0000-0300-000074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7" name="TextBox 116">
          <a:extLst>
            <a:ext uri="{FF2B5EF4-FFF2-40B4-BE49-F238E27FC236}">
              <a16:creationId xmlns:a16="http://schemas.microsoft.com/office/drawing/2014/main" id="{00000000-0008-0000-0300-000075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8" name="TextBox 117">
          <a:extLst>
            <a:ext uri="{FF2B5EF4-FFF2-40B4-BE49-F238E27FC236}">
              <a16:creationId xmlns:a16="http://schemas.microsoft.com/office/drawing/2014/main" id="{00000000-0008-0000-0300-000076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19" name="TextBox 118">
          <a:extLst>
            <a:ext uri="{FF2B5EF4-FFF2-40B4-BE49-F238E27FC236}">
              <a16:creationId xmlns:a16="http://schemas.microsoft.com/office/drawing/2014/main" id="{00000000-0008-0000-0300-000077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0" name="TextBox 119">
          <a:extLst>
            <a:ext uri="{FF2B5EF4-FFF2-40B4-BE49-F238E27FC236}">
              <a16:creationId xmlns:a16="http://schemas.microsoft.com/office/drawing/2014/main" id="{00000000-0008-0000-0300-000078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1" name="TextBox 120">
          <a:extLst>
            <a:ext uri="{FF2B5EF4-FFF2-40B4-BE49-F238E27FC236}">
              <a16:creationId xmlns:a16="http://schemas.microsoft.com/office/drawing/2014/main" id="{00000000-0008-0000-0300-000079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2" name="TextBox 121">
          <a:extLst>
            <a:ext uri="{FF2B5EF4-FFF2-40B4-BE49-F238E27FC236}">
              <a16:creationId xmlns:a16="http://schemas.microsoft.com/office/drawing/2014/main" id="{00000000-0008-0000-0300-00007A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3" name="TextBox 122">
          <a:extLst>
            <a:ext uri="{FF2B5EF4-FFF2-40B4-BE49-F238E27FC236}">
              <a16:creationId xmlns:a16="http://schemas.microsoft.com/office/drawing/2014/main" id="{00000000-0008-0000-0300-00007B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4" name="TextBox 123">
          <a:extLst>
            <a:ext uri="{FF2B5EF4-FFF2-40B4-BE49-F238E27FC236}">
              <a16:creationId xmlns:a16="http://schemas.microsoft.com/office/drawing/2014/main" id="{00000000-0008-0000-0300-00007C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5" name="TextBox 124">
          <a:extLst>
            <a:ext uri="{FF2B5EF4-FFF2-40B4-BE49-F238E27FC236}">
              <a16:creationId xmlns:a16="http://schemas.microsoft.com/office/drawing/2014/main" id="{00000000-0008-0000-0300-00007D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6" name="TextBox 125">
          <a:extLst>
            <a:ext uri="{FF2B5EF4-FFF2-40B4-BE49-F238E27FC236}">
              <a16:creationId xmlns:a16="http://schemas.microsoft.com/office/drawing/2014/main" id="{00000000-0008-0000-0300-00007E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7" name="TextBox 126">
          <a:extLst>
            <a:ext uri="{FF2B5EF4-FFF2-40B4-BE49-F238E27FC236}">
              <a16:creationId xmlns:a16="http://schemas.microsoft.com/office/drawing/2014/main" id="{00000000-0008-0000-0300-00007F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8" name="TextBox 127">
          <a:extLst>
            <a:ext uri="{FF2B5EF4-FFF2-40B4-BE49-F238E27FC236}">
              <a16:creationId xmlns:a16="http://schemas.microsoft.com/office/drawing/2014/main" id="{00000000-0008-0000-0300-000080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29" name="TextBox 128">
          <a:extLst>
            <a:ext uri="{FF2B5EF4-FFF2-40B4-BE49-F238E27FC236}">
              <a16:creationId xmlns:a16="http://schemas.microsoft.com/office/drawing/2014/main" id="{00000000-0008-0000-0300-000081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0" name="TextBox 129">
          <a:extLst>
            <a:ext uri="{FF2B5EF4-FFF2-40B4-BE49-F238E27FC236}">
              <a16:creationId xmlns:a16="http://schemas.microsoft.com/office/drawing/2014/main" id="{00000000-0008-0000-0300-000082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1" name="TextBox 130">
          <a:extLst>
            <a:ext uri="{FF2B5EF4-FFF2-40B4-BE49-F238E27FC236}">
              <a16:creationId xmlns:a16="http://schemas.microsoft.com/office/drawing/2014/main" id="{00000000-0008-0000-0300-000083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2" name="TextBox 131">
          <a:extLst>
            <a:ext uri="{FF2B5EF4-FFF2-40B4-BE49-F238E27FC236}">
              <a16:creationId xmlns:a16="http://schemas.microsoft.com/office/drawing/2014/main" id="{00000000-0008-0000-0300-000084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3" name="TextBox 132">
          <a:extLst>
            <a:ext uri="{FF2B5EF4-FFF2-40B4-BE49-F238E27FC236}">
              <a16:creationId xmlns:a16="http://schemas.microsoft.com/office/drawing/2014/main" id="{00000000-0008-0000-0300-000085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4" name="TextBox 133">
          <a:extLst>
            <a:ext uri="{FF2B5EF4-FFF2-40B4-BE49-F238E27FC236}">
              <a16:creationId xmlns:a16="http://schemas.microsoft.com/office/drawing/2014/main" id="{00000000-0008-0000-0300-000086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5" name="TextBox 134">
          <a:extLst>
            <a:ext uri="{FF2B5EF4-FFF2-40B4-BE49-F238E27FC236}">
              <a16:creationId xmlns:a16="http://schemas.microsoft.com/office/drawing/2014/main" id="{00000000-0008-0000-0300-000087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6" name="TextBox 135">
          <a:extLst>
            <a:ext uri="{FF2B5EF4-FFF2-40B4-BE49-F238E27FC236}">
              <a16:creationId xmlns:a16="http://schemas.microsoft.com/office/drawing/2014/main" id="{00000000-0008-0000-0300-000088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7" name="TextBox 136">
          <a:extLst>
            <a:ext uri="{FF2B5EF4-FFF2-40B4-BE49-F238E27FC236}">
              <a16:creationId xmlns:a16="http://schemas.microsoft.com/office/drawing/2014/main" id="{00000000-0008-0000-0300-000089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8" name="TextBox 137">
          <a:extLst>
            <a:ext uri="{FF2B5EF4-FFF2-40B4-BE49-F238E27FC236}">
              <a16:creationId xmlns:a16="http://schemas.microsoft.com/office/drawing/2014/main" id="{00000000-0008-0000-0300-00008A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39" name="TextBox 138">
          <a:extLst>
            <a:ext uri="{FF2B5EF4-FFF2-40B4-BE49-F238E27FC236}">
              <a16:creationId xmlns:a16="http://schemas.microsoft.com/office/drawing/2014/main" id="{00000000-0008-0000-0300-00008B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0" name="TextBox 139">
          <a:extLst>
            <a:ext uri="{FF2B5EF4-FFF2-40B4-BE49-F238E27FC236}">
              <a16:creationId xmlns:a16="http://schemas.microsoft.com/office/drawing/2014/main" id="{00000000-0008-0000-0300-00008C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1" name="TextBox 140">
          <a:extLst>
            <a:ext uri="{FF2B5EF4-FFF2-40B4-BE49-F238E27FC236}">
              <a16:creationId xmlns:a16="http://schemas.microsoft.com/office/drawing/2014/main" id="{00000000-0008-0000-0300-00008D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2" name="TextBox 141">
          <a:extLst>
            <a:ext uri="{FF2B5EF4-FFF2-40B4-BE49-F238E27FC236}">
              <a16:creationId xmlns:a16="http://schemas.microsoft.com/office/drawing/2014/main" id="{00000000-0008-0000-0300-00008E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3" name="TextBox 142">
          <a:extLst>
            <a:ext uri="{FF2B5EF4-FFF2-40B4-BE49-F238E27FC236}">
              <a16:creationId xmlns:a16="http://schemas.microsoft.com/office/drawing/2014/main" id="{00000000-0008-0000-0300-00008F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4" name="TextBox 143">
          <a:extLst>
            <a:ext uri="{FF2B5EF4-FFF2-40B4-BE49-F238E27FC236}">
              <a16:creationId xmlns:a16="http://schemas.microsoft.com/office/drawing/2014/main" id="{00000000-0008-0000-0300-000090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5" name="TextBox 144">
          <a:extLst>
            <a:ext uri="{FF2B5EF4-FFF2-40B4-BE49-F238E27FC236}">
              <a16:creationId xmlns:a16="http://schemas.microsoft.com/office/drawing/2014/main" id="{00000000-0008-0000-0300-000091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6" name="TextBox 145">
          <a:extLst>
            <a:ext uri="{FF2B5EF4-FFF2-40B4-BE49-F238E27FC236}">
              <a16:creationId xmlns:a16="http://schemas.microsoft.com/office/drawing/2014/main" id="{00000000-0008-0000-0300-000092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7" name="TextBox 146">
          <a:extLst>
            <a:ext uri="{FF2B5EF4-FFF2-40B4-BE49-F238E27FC236}">
              <a16:creationId xmlns:a16="http://schemas.microsoft.com/office/drawing/2014/main" id="{00000000-0008-0000-0300-000093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8" name="TextBox 147">
          <a:extLst>
            <a:ext uri="{FF2B5EF4-FFF2-40B4-BE49-F238E27FC236}">
              <a16:creationId xmlns:a16="http://schemas.microsoft.com/office/drawing/2014/main" id="{00000000-0008-0000-0300-000094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49" name="TextBox 148">
          <a:extLst>
            <a:ext uri="{FF2B5EF4-FFF2-40B4-BE49-F238E27FC236}">
              <a16:creationId xmlns:a16="http://schemas.microsoft.com/office/drawing/2014/main" id="{00000000-0008-0000-0300-000095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0" name="TextBox 149">
          <a:extLst>
            <a:ext uri="{FF2B5EF4-FFF2-40B4-BE49-F238E27FC236}">
              <a16:creationId xmlns:a16="http://schemas.microsoft.com/office/drawing/2014/main" id="{00000000-0008-0000-0300-000096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1" name="TextBox 150">
          <a:extLst>
            <a:ext uri="{FF2B5EF4-FFF2-40B4-BE49-F238E27FC236}">
              <a16:creationId xmlns:a16="http://schemas.microsoft.com/office/drawing/2014/main" id="{00000000-0008-0000-0300-000097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2" name="TextBox 151">
          <a:extLst>
            <a:ext uri="{FF2B5EF4-FFF2-40B4-BE49-F238E27FC236}">
              <a16:creationId xmlns:a16="http://schemas.microsoft.com/office/drawing/2014/main" id="{00000000-0008-0000-0300-000098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3" name="TextBox 152">
          <a:extLst>
            <a:ext uri="{FF2B5EF4-FFF2-40B4-BE49-F238E27FC236}">
              <a16:creationId xmlns:a16="http://schemas.microsoft.com/office/drawing/2014/main" id="{00000000-0008-0000-0300-000099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4" name="TextBox 153">
          <a:extLst>
            <a:ext uri="{FF2B5EF4-FFF2-40B4-BE49-F238E27FC236}">
              <a16:creationId xmlns:a16="http://schemas.microsoft.com/office/drawing/2014/main" id="{00000000-0008-0000-0300-00009A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5" name="TextBox 154">
          <a:extLst>
            <a:ext uri="{FF2B5EF4-FFF2-40B4-BE49-F238E27FC236}">
              <a16:creationId xmlns:a16="http://schemas.microsoft.com/office/drawing/2014/main" id="{00000000-0008-0000-0300-00009B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6" name="TextBox 155">
          <a:extLst>
            <a:ext uri="{FF2B5EF4-FFF2-40B4-BE49-F238E27FC236}">
              <a16:creationId xmlns:a16="http://schemas.microsoft.com/office/drawing/2014/main" id="{00000000-0008-0000-0300-00009C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7" name="TextBox 156">
          <a:extLst>
            <a:ext uri="{FF2B5EF4-FFF2-40B4-BE49-F238E27FC236}">
              <a16:creationId xmlns:a16="http://schemas.microsoft.com/office/drawing/2014/main" id="{00000000-0008-0000-0300-00009D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8" name="TextBox 157">
          <a:extLst>
            <a:ext uri="{FF2B5EF4-FFF2-40B4-BE49-F238E27FC236}">
              <a16:creationId xmlns:a16="http://schemas.microsoft.com/office/drawing/2014/main" id="{00000000-0008-0000-0300-00009E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59" name="TextBox 158">
          <a:extLst>
            <a:ext uri="{FF2B5EF4-FFF2-40B4-BE49-F238E27FC236}">
              <a16:creationId xmlns:a16="http://schemas.microsoft.com/office/drawing/2014/main" id="{00000000-0008-0000-0300-00009F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0" name="TextBox 159">
          <a:extLst>
            <a:ext uri="{FF2B5EF4-FFF2-40B4-BE49-F238E27FC236}">
              <a16:creationId xmlns:a16="http://schemas.microsoft.com/office/drawing/2014/main" id="{00000000-0008-0000-0300-0000A0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1" name="TextBox 160">
          <a:extLst>
            <a:ext uri="{FF2B5EF4-FFF2-40B4-BE49-F238E27FC236}">
              <a16:creationId xmlns:a16="http://schemas.microsoft.com/office/drawing/2014/main" id="{00000000-0008-0000-0300-0000A1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2" name="TextBox 161">
          <a:extLst>
            <a:ext uri="{FF2B5EF4-FFF2-40B4-BE49-F238E27FC236}">
              <a16:creationId xmlns:a16="http://schemas.microsoft.com/office/drawing/2014/main" id="{00000000-0008-0000-0300-0000A2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3" name="TextBox 162">
          <a:extLst>
            <a:ext uri="{FF2B5EF4-FFF2-40B4-BE49-F238E27FC236}">
              <a16:creationId xmlns:a16="http://schemas.microsoft.com/office/drawing/2014/main" id="{00000000-0008-0000-0300-0000A3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4" name="TextBox 163">
          <a:extLst>
            <a:ext uri="{FF2B5EF4-FFF2-40B4-BE49-F238E27FC236}">
              <a16:creationId xmlns:a16="http://schemas.microsoft.com/office/drawing/2014/main" id="{00000000-0008-0000-0300-0000A4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5" name="TextBox 164">
          <a:extLst>
            <a:ext uri="{FF2B5EF4-FFF2-40B4-BE49-F238E27FC236}">
              <a16:creationId xmlns:a16="http://schemas.microsoft.com/office/drawing/2014/main" id="{00000000-0008-0000-0300-0000A5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6" name="TextBox 165">
          <a:extLst>
            <a:ext uri="{FF2B5EF4-FFF2-40B4-BE49-F238E27FC236}">
              <a16:creationId xmlns:a16="http://schemas.microsoft.com/office/drawing/2014/main" id="{00000000-0008-0000-0300-0000A6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7" name="TextBox 166">
          <a:extLst>
            <a:ext uri="{FF2B5EF4-FFF2-40B4-BE49-F238E27FC236}">
              <a16:creationId xmlns:a16="http://schemas.microsoft.com/office/drawing/2014/main" id="{00000000-0008-0000-0300-0000A7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8" name="TextBox 167">
          <a:extLst>
            <a:ext uri="{FF2B5EF4-FFF2-40B4-BE49-F238E27FC236}">
              <a16:creationId xmlns:a16="http://schemas.microsoft.com/office/drawing/2014/main" id="{00000000-0008-0000-0300-0000A8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69" name="TextBox 168">
          <a:extLst>
            <a:ext uri="{FF2B5EF4-FFF2-40B4-BE49-F238E27FC236}">
              <a16:creationId xmlns:a16="http://schemas.microsoft.com/office/drawing/2014/main" id="{00000000-0008-0000-0300-0000A9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0" name="TextBox 169">
          <a:extLst>
            <a:ext uri="{FF2B5EF4-FFF2-40B4-BE49-F238E27FC236}">
              <a16:creationId xmlns:a16="http://schemas.microsoft.com/office/drawing/2014/main" id="{00000000-0008-0000-0300-0000AA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1" name="TextBox 170">
          <a:extLst>
            <a:ext uri="{FF2B5EF4-FFF2-40B4-BE49-F238E27FC236}">
              <a16:creationId xmlns:a16="http://schemas.microsoft.com/office/drawing/2014/main" id="{00000000-0008-0000-0300-0000AB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2" name="TextBox 171">
          <a:extLst>
            <a:ext uri="{FF2B5EF4-FFF2-40B4-BE49-F238E27FC236}">
              <a16:creationId xmlns:a16="http://schemas.microsoft.com/office/drawing/2014/main" id="{00000000-0008-0000-0300-0000AC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3" name="TextBox 172">
          <a:extLst>
            <a:ext uri="{FF2B5EF4-FFF2-40B4-BE49-F238E27FC236}">
              <a16:creationId xmlns:a16="http://schemas.microsoft.com/office/drawing/2014/main" id="{00000000-0008-0000-0300-0000AD000000}"/>
            </a:ext>
          </a:extLst>
        </xdr:cNvPr>
        <xdr:cNvSpPr txBox="1"/>
      </xdr:nvSpPr>
      <xdr:spPr>
        <a:xfrm>
          <a:off x="17513512" y="1191081"/>
          <a:ext cx="24346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4" name="TextBox 173">
          <a:extLst>
            <a:ext uri="{FF2B5EF4-FFF2-40B4-BE49-F238E27FC236}">
              <a16:creationId xmlns:a16="http://schemas.microsoft.com/office/drawing/2014/main" id="{00000000-0008-0000-0300-0000AE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5" name="TextBox 174">
          <a:extLst>
            <a:ext uri="{FF2B5EF4-FFF2-40B4-BE49-F238E27FC236}">
              <a16:creationId xmlns:a16="http://schemas.microsoft.com/office/drawing/2014/main" id="{00000000-0008-0000-0300-0000AF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6" name="TextBox 175">
          <a:extLst>
            <a:ext uri="{FF2B5EF4-FFF2-40B4-BE49-F238E27FC236}">
              <a16:creationId xmlns:a16="http://schemas.microsoft.com/office/drawing/2014/main" id="{00000000-0008-0000-0300-0000B0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7" name="TextBox 176">
          <a:extLst>
            <a:ext uri="{FF2B5EF4-FFF2-40B4-BE49-F238E27FC236}">
              <a16:creationId xmlns:a16="http://schemas.microsoft.com/office/drawing/2014/main" id="{00000000-0008-0000-0300-0000B1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8" name="TextBox 177">
          <a:extLst>
            <a:ext uri="{FF2B5EF4-FFF2-40B4-BE49-F238E27FC236}">
              <a16:creationId xmlns:a16="http://schemas.microsoft.com/office/drawing/2014/main" id="{00000000-0008-0000-0300-0000B2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79" name="TextBox 178">
          <a:extLst>
            <a:ext uri="{FF2B5EF4-FFF2-40B4-BE49-F238E27FC236}">
              <a16:creationId xmlns:a16="http://schemas.microsoft.com/office/drawing/2014/main" id="{00000000-0008-0000-0300-0000B3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609188</xdr:colOff>
      <xdr:row>5</xdr:row>
      <xdr:rowOff>169315</xdr:rowOff>
    </xdr:to>
    <xdr:sp macro="" textlink="">
      <xdr:nvSpPr>
        <xdr:cNvPr id="180" name="TextBox 179">
          <a:extLst>
            <a:ext uri="{FF2B5EF4-FFF2-40B4-BE49-F238E27FC236}">
              <a16:creationId xmlns:a16="http://schemas.microsoft.com/office/drawing/2014/main" id="{00000000-0008-0000-0300-0000B4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4</xdr:row>
      <xdr:rowOff>456</xdr:rowOff>
    </xdr:from>
    <xdr:to>
      <xdr:col>20</xdr:col>
      <xdr:colOff>602890</xdr:colOff>
      <xdr:row>5</xdr:row>
      <xdr:rowOff>169315</xdr:rowOff>
    </xdr:to>
    <xdr:sp macro="" textlink="">
      <xdr:nvSpPr>
        <xdr:cNvPr id="181" name="TextBox 180">
          <a:extLst>
            <a:ext uri="{FF2B5EF4-FFF2-40B4-BE49-F238E27FC236}">
              <a16:creationId xmlns:a16="http://schemas.microsoft.com/office/drawing/2014/main" id="{00000000-0008-0000-0300-0000B5000000}"/>
            </a:ext>
          </a:extLst>
        </xdr:cNvPr>
        <xdr:cNvSpPr txBox="1"/>
      </xdr:nvSpPr>
      <xdr:spPr>
        <a:xfrm>
          <a:off x="1737063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658471</xdr:colOff>
      <xdr:row>7</xdr:row>
      <xdr:rowOff>140533</xdr:rowOff>
    </xdr:to>
    <xdr:sp macro="" textlink="">
      <xdr:nvSpPr>
        <xdr:cNvPr id="182" name="Right Brace 181">
          <a:extLst>
            <a:ext uri="{FF2B5EF4-FFF2-40B4-BE49-F238E27FC236}">
              <a16:creationId xmlns:a16="http://schemas.microsoft.com/office/drawing/2014/main" id="{00000000-0008-0000-0300-0000B6000000}"/>
            </a:ext>
          </a:extLst>
        </xdr:cNvPr>
        <xdr:cNvSpPr/>
      </xdr:nvSpPr>
      <xdr:spPr>
        <a:xfrm rot="16200000">
          <a:off x="192234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583887</xdr:colOff>
      <xdr:row>5</xdr:row>
      <xdr:rowOff>156654</xdr:rowOff>
    </xdr:to>
    <xdr:sp macro="" textlink="">
      <xdr:nvSpPr>
        <xdr:cNvPr id="183" name="TextBox 182">
          <a:extLst>
            <a:ext uri="{FF2B5EF4-FFF2-40B4-BE49-F238E27FC236}">
              <a16:creationId xmlns:a16="http://schemas.microsoft.com/office/drawing/2014/main" id="{00000000-0008-0000-0300-0000B7000000}"/>
            </a:ext>
          </a:extLst>
        </xdr:cNvPr>
        <xdr:cNvSpPr txBox="1"/>
      </xdr:nvSpPr>
      <xdr:spPr>
        <a:xfrm>
          <a:off x="181897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658471</xdr:colOff>
      <xdr:row>7</xdr:row>
      <xdr:rowOff>140533</xdr:rowOff>
    </xdr:to>
    <xdr:sp macro="" textlink="">
      <xdr:nvSpPr>
        <xdr:cNvPr id="184" name="Right Brace 183">
          <a:extLst>
            <a:ext uri="{FF2B5EF4-FFF2-40B4-BE49-F238E27FC236}">
              <a16:creationId xmlns:a16="http://schemas.microsoft.com/office/drawing/2014/main" id="{00000000-0008-0000-0300-0000B8000000}"/>
            </a:ext>
          </a:extLst>
        </xdr:cNvPr>
        <xdr:cNvSpPr/>
      </xdr:nvSpPr>
      <xdr:spPr>
        <a:xfrm rot="16200000">
          <a:off x="192234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583887</xdr:colOff>
      <xdr:row>5</xdr:row>
      <xdr:rowOff>156654</xdr:rowOff>
    </xdr:to>
    <xdr:sp macro="" textlink="">
      <xdr:nvSpPr>
        <xdr:cNvPr id="185" name="TextBox 184">
          <a:extLst>
            <a:ext uri="{FF2B5EF4-FFF2-40B4-BE49-F238E27FC236}">
              <a16:creationId xmlns:a16="http://schemas.microsoft.com/office/drawing/2014/main" id="{00000000-0008-0000-0300-0000B9000000}"/>
            </a:ext>
          </a:extLst>
        </xdr:cNvPr>
        <xdr:cNvSpPr txBox="1"/>
      </xdr:nvSpPr>
      <xdr:spPr>
        <a:xfrm>
          <a:off x="181897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658471</xdr:colOff>
      <xdr:row>7</xdr:row>
      <xdr:rowOff>140533</xdr:rowOff>
    </xdr:to>
    <xdr:sp macro="" textlink="">
      <xdr:nvSpPr>
        <xdr:cNvPr id="186" name="Right Brace 185">
          <a:extLst>
            <a:ext uri="{FF2B5EF4-FFF2-40B4-BE49-F238E27FC236}">
              <a16:creationId xmlns:a16="http://schemas.microsoft.com/office/drawing/2014/main" id="{00000000-0008-0000-0300-0000BA000000}"/>
            </a:ext>
          </a:extLst>
        </xdr:cNvPr>
        <xdr:cNvSpPr/>
      </xdr:nvSpPr>
      <xdr:spPr>
        <a:xfrm rot="16200000">
          <a:off x="192234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583887</xdr:colOff>
      <xdr:row>5</xdr:row>
      <xdr:rowOff>156654</xdr:rowOff>
    </xdr:to>
    <xdr:sp macro="" textlink="">
      <xdr:nvSpPr>
        <xdr:cNvPr id="187" name="TextBox 186">
          <a:extLst>
            <a:ext uri="{FF2B5EF4-FFF2-40B4-BE49-F238E27FC236}">
              <a16:creationId xmlns:a16="http://schemas.microsoft.com/office/drawing/2014/main" id="{00000000-0008-0000-0300-0000BB000000}"/>
            </a:ext>
          </a:extLst>
        </xdr:cNvPr>
        <xdr:cNvSpPr txBox="1"/>
      </xdr:nvSpPr>
      <xdr:spPr>
        <a:xfrm>
          <a:off x="181897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658471</xdr:colOff>
      <xdr:row>7</xdr:row>
      <xdr:rowOff>140533</xdr:rowOff>
    </xdr:to>
    <xdr:sp macro="" textlink="">
      <xdr:nvSpPr>
        <xdr:cNvPr id="188" name="Right Brace 187">
          <a:extLst>
            <a:ext uri="{FF2B5EF4-FFF2-40B4-BE49-F238E27FC236}">
              <a16:creationId xmlns:a16="http://schemas.microsoft.com/office/drawing/2014/main" id="{00000000-0008-0000-0300-0000BC000000}"/>
            </a:ext>
          </a:extLst>
        </xdr:cNvPr>
        <xdr:cNvSpPr/>
      </xdr:nvSpPr>
      <xdr:spPr>
        <a:xfrm rot="16200000">
          <a:off x="19153602" y="-3008313"/>
          <a:ext cx="492126" cy="95774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583887</xdr:colOff>
      <xdr:row>5</xdr:row>
      <xdr:rowOff>156654</xdr:rowOff>
    </xdr:to>
    <xdr:sp macro="" textlink="">
      <xdr:nvSpPr>
        <xdr:cNvPr id="189" name="TextBox 188">
          <a:extLst>
            <a:ext uri="{FF2B5EF4-FFF2-40B4-BE49-F238E27FC236}">
              <a16:creationId xmlns:a16="http://schemas.microsoft.com/office/drawing/2014/main" id="{00000000-0008-0000-0300-0000BD000000}"/>
            </a:ext>
          </a:extLst>
        </xdr:cNvPr>
        <xdr:cNvSpPr txBox="1"/>
      </xdr:nvSpPr>
      <xdr:spPr>
        <a:xfrm>
          <a:off x="18126287" y="1146631"/>
          <a:ext cx="25108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658471</xdr:colOff>
      <xdr:row>7</xdr:row>
      <xdr:rowOff>140533</xdr:rowOff>
    </xdr:to>
    <xdr:sp macro="" textlink="">
      <xdr:nvSpPr>
        <xdr:cNvPr id="190" name="Right Brace 189">
          <a:extLst>
            <a:ext uri="{FF2B5EF4-FFF2-40B4-BE49-F238E27FC236}">
              <a16:creationId xmlns:a16="http://schemas.microsoft.com/office/drawing/2014/main" id="{00000000-0008-0000-0300-0000BE000000}"/>
            </a:ext>
          </a:extLst>
        </xdr:cNvPr>
        <xdr:cNvSpPr/>
      </xdr:nvSpPr>
      <xdr:spPr>
        <a:xfrm rot="16200000">
          <a:off x="19153602" y="-3008313"/>
          <a:ext cx="492126" cy="95774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583887</xdr:colOff>
      <xdr:row>5</xdr:row>
      <xdr:rowOff>156654</xdr:rowOff>
    </xdr:to>
    <xdr:sp macro="" textlink="">
      <xdr:nvSpPr>
        <xdr:cNvPr id="191" name="TextBox 190">
          <a:extLst>
            <a:ext uri="{FF2B5EF4-FFF2-40B4-BE49-F238E27FC236}">
              <a16:creationId xmlns:a16="http://schemas.microsoft.com/office/drawing/2014/main" id="{00000000-0008-0000-0300-0000BF000000}"/>
            </a:ext>
          </a:extLst>
        </xdr:cNvPr>
        <xdr:cNvSpPr txBox="1"/>
      </xdr:nvSpPr>
      <xdr:spPr>
        <a:xfrm>
          <a:off x="18126287" y="1146631"/>
          <a:ext cx="25108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658471</xdr:colOff>
      <xdr:row>7</xdr:row>
      <xdr:rowOff>140533</xdr:rowOff>
    </xdr:to>
    <xdr:sp macro="" textlink="">
      <xdr:nvSpPr>
        <xdr:cNvPr id="192" name="Right Brace 191">
          <a:extLst>
            <a:ext uri="{FF2B5EF4-FFF2-40B4-BE49-F238E27FC236}">
              <a16:creationId xmlns:a16="http://schemas.microsoft.com/office/drawing/2014/main" id="{00000000-0008-0000-0300-0000C0000000}"/>
            </a:ext>
          </a:extLst>
        </xdr:cNvPr>
        <xdr:cNvSpPr/>
      </xdr:nvSpPr>
      <xdr:spPr>
        <a:xfrm rot="16200000">
          <a:off x="1933140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583887</xdr:colOff>
      <xdr:row>5</xdr:row>
      <xdr:rowOff>156654</xdr:rowOff>
    </xdr:to>
    <xdr:sp macro="" textlink="">
      <xdr:nvSpPr>
        <xdr:cNvPr id="193" name="TextBox 192">
          <a:extLst>
            <a:ext uri="{FF2B5EF4-FFF2-40B4-BE49-F238E27FC236}">
              <a16:creationId xmlns:a16="http://schemas.microsoft.com/office/drawing/2014/main" id="{00000000-0008-0000-0300-0000C1000000}"/>
            </a:ext>
          </a:extLst>
        </xdr:cNvPr>
        <xdr:cNvSpPr txBox="1"/>
      </xdr:nvSpPr>
      <xdr:spPr>
        <a:xfrm>
          <a:off x="1829773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435187</xdr:colOff>
      <xdr:row>3</xdr:row>
      <xdr:rowOff>260806</xdr:rowOff>
    </xdr:from>
    <xdr:to>
      <xdr:col>20</xdr:col>
      <xdr:colOff>615539</xdr:colOff>
      <xdr:row>5</xdr:row>
      <xdr:rowOff>169679</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615539</xdr:colOff>
      <xdr:row>5</xdr:row>
      <xdr:rowOff>169679</xdr:rowOff>
    </xdr:to>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260806</xdr:rowOff>
    </xdr:from>
    <xdr:to>
      <xdr:col>20</xdr:col>
      <xdr:colOff>612360</xdr:colOff>
      <xdr:row>5</xdr:row>
      <xdr:rowOff>169679</xdr:rowOff>
    </xdr:to>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658468</xdr:colOff>
      <xdr:row>7</xdr:row>
      <xdr:rowOff>140533</xdr:rowOff>
    </xdr:to>
    <xdr:sp macro="" textlink="">
      <xdr:nvSpPr>
        <xdr:cNvPr id="12" name="Right Brace 11">
          <a:extLst>
            <a:ext uri="{FF2B5EF4-FFF2-40B4-BE49-F238E27FC236}">
              <a16:creationId xmlns:a16="http://schemas.microsoft.com/office/drawing/2014/main" id="{00000000-0008-0000-0400-00000C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257631</xdr:rowOff>
    </xdr:from>
    <xdr:to>
      <xdr:col>20</xdr:col>
      <xdr:colOff>593354</xdr:colOff>
      <xdr:row>5</xdr:row>
      <xdr:rowOff>166185</xdr:rowOff>
    </xdr:to>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658468</xdr:colOff>
      <xdr:row>7</xdr:row>
      <xdr:rowOff>140533</xdr:rowOff>
    </xdr:to>
    <xdr:sp macro="" textlink="">
      <xdr:nvSpPr>
        <xdr:cNvPr id="14" name="Right Brace 13">
          <a:extLst>
            <a:ext uri="{FF2B5EF4-FFF2-40B4-BE49-F238E27FC236}">
              <a16:creationId xmlns:a16="http://schemas.microsoft.com/office/drawing/2014/main" id="{00000000-0008-0000-0400-00000E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257631</xdr:rowOff>
    </xdr:from>
    <xdr:to>
      <xdr:col>20</xdr:col>
      <xdr:colOff>593354</xdr:colOff>
      <xdr:row>5</xdr:row>
      <xdr:rowOff>166185</xdr:rowOff>
    </xdr:to>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658468</xdr:colOff>
      <xdr:row>7</xdr:row>
      <xdr:rowOff>140533</xdr:rowOff>
    </xdr:to>
    <xdr:sp macro="" textlink="">
      <xdr:nvSpPr>
        <xdr:cNvPr id="16" name="Right Brace 15">
          <a:extLst>
            <a:ext uri="{FF2B5EF4-FFF2-40B4-BE49-F238E27FC236}">
              <a16:creationId xmlns:a16="http://schemas.microsoft.com/office/drawing/2014/main" id="{00000000-0008-0000-0400-000010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257631</xdr:rowOff>
    </xdr:from>
    <xdr:to>
      <xdr:col>20</xdr:col>
      <xdr:colOff>593354</xdr:colOff>
      <xdr:row>5</xdr:row>
      <xdr:rowOff>166185</xdr:rowOff>
    </xdr:to>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658468</xdr:colOff>
      <xdr:row>7</xdr:row>
      <xdr:rowOff>140533</xdr:rowOff>
    </xdr:to>
    <xdr:sp macro="" textlink="">
      <xdr:nvSpPr>
        <xdr:cNvPr id="18" name="Right Brace 17">
          <a:extLst>
            <a:ext uri="{FF2B5EF4-FFF2-40B4-BE49-F238E27FC236}">
              <a16:creationId xmlns:a16="http://schemas.microsoft.com/office/drawing/2014/main" id="{00000000-0008-0000-0400-000012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257631</xdr:rowOff>
    </xdr:from>
    <xdr:to>
      <xdr:col>20</xdr:col>
      <xdr:colOff>593354</xdr:colOff>
      <xdr:row>5</xdr:row>
      <xdr:rowOff>166185</xdr:rowOff>
    </xdr:to>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658468</xdr:colOff>
      <xdr:row>7</xdr:row>
      <xdr:rowOff>140533</xdr:rowOff>
    </xdr:to>
    <xdr:sp macro="" textlink="">
      <xdr:nvSpPr>
        <xdr:cNvPr id="20" name="Right Brace 19">
          <a:extLst>
            <a:ext uri="{FF2B5EF4-FFF2-40B4-BE49-F238E27FC236}">
              <a16:creationId xmlns:a16="http://schemas.microsoft.com/office/drawing/2014/main" id="{00000000-0008-0000-0400-000014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257631</xdr:rowOff>
    </xdr:from>
    <xdr:to>
      <xdr:col>20</xdr:col>
      <xdr:colOff>593354</xdr:colOff>
      <xdr:row>5</xdr:row>
      <xdr:rowOff>166185</xdr:rowOff>
    </xdr:to>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386932</xdr:colOff>
      <xdr:row>5</xdr:row>
      <xdr:rowOff>131007</xdr:rowOff>
    </xdr:from>
    <xdr:to>
      <xdr:col>23</xdr:col>
      <xdr:colOff>658468</xdr:colOff>
      <xdr:row>7</xdr:row>
      <xdr:rowOff>140533</xdr:rowOff>
    </xdr:to>
    <xdr:sp macro="" textlink="">
      <xdr:nvSpPr>
        <xdr:cNvPr id="22" name="Right Brace 21">
          <a:extLst>
            <a:ext uri="{FF2B5EF4-FFF2-40B4-BE49-F238E27FC236}">
              <a16:creationId xmlns:a16="http://schemas.microsoft.com/office/drawing/2014/main" id="{00000000-0008-0000-0400-000016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257631</xdr:rowOff>
    </xdr:from>
    <xdr:to>
      <xdr:col>20</xdr:col>
      <xdr:colOff>593354</xdr:colOff>
      <xdr:row>5</xdr:row>
      <xdr:rowOff>166185</xdr:rowOff>
    </xdr:to>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435187</xdr:colOff>
      <xdr:row>3</xdr:row>
      <xdr:rowOff>251281</xdr:rowOff>
    </xdr:from>
    <xdr:to>
      <xdr:col>20</xdr:col>
      <xdr:colOff>615526</xdr:colOff>
      <xdr:row>5</xdr:row>
      <xdr:rowOff>169562</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615526</xdr:colOff>
      <xdr:row>5</xdr:row>
      <xdr:rowOff>169562</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612348</xdr:colOff>
      <xdr:row>5</xdr:row>
      <xdr:rowOff>169562</xdr:rowOff>
    </xdr:to>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435187</xdr:colOff>
      <xdr:row>3</xdr:row>
      <xdr:rowOff>251281</xdr:rowOff>
    </xdr:from>
    <xdr:to>
      <xdr:col>20</xdr:col>
      <xdr:colOff>612348</xdr:colOff>
      <xdr:row>5</xdr:row>
      <xdr:rowOff>169562</xdr:rowOff>
    </xdr:to>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17389687" y="1191081"/>
          <a:ext cx="241561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396457</xdr:colOff>
      <xdr:row>5</xdr:row>
      <xdr:rowOff>131007</xdr:rowOff>
    </xdr:from>
    <xdr:to>
      <xdr:col>23</xdr:col>
      <xdr:colOff>658476</xdr:colOff>
      <xdr:row>7</xdr:row>
      <xdr:rowOff>150249</xdr:rowOff>
    </xdr:to>
    <xdr:sp macro="" textlink="">
      <xdr:nvSpPr>
        <xdr:cNvPr id="12" name="Right Brace 11">
          <a:extLst>
            <a:ext uri="{FF2B5EF4-FFF2-40B4-BE49-F238E27FC236}">
              <a16:creationId xmlns:a16="http://schemas.microsoft.com/office/drawing/2014/main" id="{00000000-0008-0000-0500-00000C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593341</xdr:colOff>
      <xdr:row>5</xdr:row>
      <xdr:rowOff>166428</xdr:rowOff>
    </xdr:to>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396457</xdr:colOff>
      <xdr:row>5</xdr:row>
      <xdr:rowOff>131007</xdr:rowOff>
    </xdr:from>
    <xdr:to>
      <xdr:col>23</xdr:col>
      <xdr:colOff>658476</xdr:colOff>
      <xdr:row>7</xdr:row>
      <xdr:rowOff>150249</xdr:rowOff>
    </xdr:to>
    <xdr:sp macro="" textlink="">
      <xdr:nvSpPr>
        <xdr:cNvPr id="14" name="Right Brace 13">
          <a:extLst>
            <a:ext uri="{FF2B5EF4-FFF2-40B4-BE49-F238E27FC236}">
              <a16:creationId xmlns:a16="http://schemas.microsoft.com/office/drawing/2014/main" id="{00000000-0008-0000-0500-00000E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593341</xdr:colOff>
      <xdr:row>5</xdr:row>
      <xdr:rowOff>166428</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396457</xdr:colOff>
      <xdr:row>5</xdr:row>
      <xdr:rowOff>131007</xdr:rowOff>
    </xdr:from>
    <xdr:to>
      <xdr:col>23</xdr:col>
      <xdr:colOff>658476</xdr:colOff>
      <xdr:row>7</xdr:row>
      <xdr:rowOff>150249</xdr:rowOff>
    </xdr:to>
    <xdr:sp macro="" textlink="">
      <xdr:nvSpPr>
        <xdr:cNvPr id="16" name="Right Brace 15">
          <a:extLst>
            <a:ext uri="{FF2B5EF4-FFF2-40B4-BE49-F238E27FC236}">
              <a16:creationId xmlns:a16="http://schemas.microsoft.com/office/drawing/2014/main" id="{00000000-0008-0000-0500-000010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593341</xdr:colOff>
      <xdr:row>5</xdr:row>
      <xdr:rowOff>166428</xdr:rowOff>
    </xdr:to>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396457</xdr:colOff>
      <xdr:row>5</xdr:row>
      <xdr:rowOff>131007</xdr:rowOff>
    </xdr:from>
    <xdr:to>
      <xdr:col>23</xdr:col>
      <xdr:colOff>658476</xdr:colOff>
      <xdr:row>7</xdr:row>
      <xdr:rowOff>150249</xdr:rowOff>
    </xdr:to>
    <xdr:sp macro="" textlink="">
      <xdr:nvSpPr>
        <xdr:cNvPr id="18" name="Right Brace 17">
          <a:extLst>
            <a:ext uri="{FF2B5EF4-FFF2-40B4-BE49-F238E27FC236}">
              <a16:creationId xmlns:a16="http://schemas.microsoft.com/office/drawing/2014/main" id="{00000000-0008-0000-0500-000012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593341</xdr:colOff>
      <xdr:row>5</xdr:row>
      <xdr:rowOff>166428</xdr:rowOff>
    </xdr:to>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396457</xdr:colOff>
      <xdr:row>5</xdr:row>
      <xdr:rowOff>131007</xdr:rowOff>
    </xdr:from>
    <xdr:to>
      <xdr:col>23</xdr:col>
      <xdr:colOff>658476</xdr:colOff>
      <xdr:row>7</xdr:row>
      <xdr:rowOff>150249</xdr:rowOff>
    </xdr:to>
    <xdr:sp macro="" textlink="">
      <xdr:nvSpPr>
        <xdr:cNvPr id="20" name="Right Brace 19">
          <a:extLst>
            <a:ext uri="{FF2B5EF4-FFF2-40B4-BE49-F238E27FC236}">
              <a16:creationId xmlns:a16="http://schemas.microsoft.com/office/drawing/2014/main" id="{00000000-0008-0000-0500-000014000000}"/>
            </a:ext>
          </a:extLst>
        </xdr:cNvPr>
        <xdr:cNvSpPr/>
      </xdr:nvSpPr>
      <xdr:spPr>
        <a:xfrm rot="16200000">
          <a:off x="192361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593341</xdr:colOff>
      <xdr:row>5</xdr:row>
      <xdr:rowOff>166428</xdr:rowOff>
    </xdr:to>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182024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396457</xdr:colOff>
      <xdr:row>5</xdr:row>
      <xdr:rowOff>131007</xdr:rowOff>
    </xdr:from>
    <xdr:to>
      <xdr:col>23</xdr:col>
      <xdr:colOff>658476</xdr:colOff>
      <xdr:row>7</xdr:row>
      <xdr:rowOff>150249</xdr:rowOff>
    </xdr:to>
    <xdr:sp macro="" textlink="">
      <xdr:nvSpPr>
        <xdr:cNvPr id="22" name="Right Brace 21">
          <a:extLst>
            <a:ext uri="{FF2B5EF4-FFF2-40B4-BE49-F238E27FC236}">
              <a16:creationId xmlns:a16="http://schemas.microsoft.com/office/drawing/2014/main" id="{00000000-0008-0000-0500-000016000000}"/>
            </a:ext>
          </a:extLst>
        </xdr:cNvPr>
        <xdr:cNvSpPr/>
      </xdr:nvSpPr>
      <xdr:spPr>
        <a:xfrm rot="16200000">
          <a:off x="19350452" y="-3033713"/>
          <a:ext cx="492126" cy="96282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3</xdr:row>
      <xdr:rowOff>248106</xdr:rowOff>
    </xdr:from>
    <xdr:to>
      <xdr:col>20</xdr:col>
      <xdr:colOff>593341</xdr:colOff>
      <xdr:row>5</xdr:row>
      <xdr:rowOff>166428</xdr:rowOff>
    </xdr:to>
    <xdr:sp macro="" textlink="">
      <xdr:nvSpPr>
        <xdr:cNvPr id="23" name="TextBox 22">
          <a:extLst>
            <a:ext uri="{FF2B5EF4-FFF2-40B4-BE49-F238E27FC236}">
              <a16:creationId xmlns:a16="http://schemas.microsoft.com/office/drawing/2014/main" id="{00000000-0008-0000-0500-000017000000}"/>
            </a:ext>
          </a:extLst>
        </xdr:cNvPr>
        <xdr:cNvSpPr txBox="1"/>
      </xdr:nvSpPr>
      <xdr:spPr>
        <a:xfrm>
          <a:off x="18316787" y="1146631"/>
          <a:ext cx="2523565"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435187</xdr:colOff>
      <xdr:row>4</xdr:row>
      <xdr:rowOff>263981</xdr:rowOff>
    </xdr:from>
    <xdr:to>
      <xdr:col>20</xdr:col>
      <xdr:colOff>615558</xdr:colOff>
      <xdr:row>6</xdr:row>
      <xdr:rowOff>166193</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615558</xdr:colOff>
      <xdr:row>6</xdr:row>
      <xdr:rowOff>166193</xdr:rowOff>
    </xdr:to>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21199687" y="1362531"/>
          <a:ext cx="281566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18</xdr:col>
      <xdr:colOff>435187</xdr:colOff>
      <xdr:row>4</xdr:row>
      <xdr:rowOff>263981</xdr:rowOff>
    </xdr:from>
    <xdr:to>
      <xdr:col>20</xdr:col>
      <xdr:colOff>612396</xdr:colOff>
      <xdr:row>6</xdr:row>
      <xdr:rowOff>166193</xdr:rowOff>
    </xdr:to>
    <xdr:sp macro="" textlink="">
      <xdr:nvSpPr>
        <xdr:cNvPr id="12" name="TextBox 11">
          <a:extLst>
            <a:ext uri="{FF2B5EF4-FFF2-40B4-BE49-F238E27FC236}">
              <a16:creationId xmlns:a16="http://schemas.microsoft.com/office/drawing/2014/main" id="{00000000-0008-0000-0600-00000C000000}"/>
            </a:ext>
          </a:extLst>
        </xdr:cNvPr>
        <xdr:cNvSpPr txBox="1"/>
      </xdr:nvSpPr>
      <xdr:spPr>
        <a:xfrm>
          <a:off x="21895012" y="1362531"/>
          <a:ext cx="3063315" cy="499019"/>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15</xdr:col>
      <xdr:colOff>437732</xdr:colOff>
      <xdr:row>7</xdr:row>
      <xdr:rowOff>29407</xdr:rowOff>
    </xdr:from>
    <xdr:to>
      <xdr:col>23</xdr:col>
      <xdr:colOff>699750</xdr:colOff>
      <xdr:row>9</xdr:row>
      <xdr:rowOff>150058</xdr:rowOff>
    </xdr:to>
    <xdr:sp macro="" textlink="">
      <xdr:nvSpPr>
        <xdr:cNvPr id="11" name="Right Brace 10">
          <a:extLst>
            <a:ext uri="{FF2B5EF4-FFF2-40B4-BE49-F238E27FC236}">
              <a16:creationId xmlns:a16="http://schemas.microsoft.com/office/drawing/2014/main" id="{00000000-0008-0000-0600-00000B000000}"/>
            </a:ext>
          </a:extLst>
        </xdr:cNvPr>
        <xdr:cNvSpPr/>
      </xdr:nvSpPr>
      <xdr:spPr>
        <a:xfrm rot="16200000">
          <a:off x="23073139" y="-2914650"/>
          <a:ext cx="641351" cy="103394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4</xdr:row>
      <xdr:rowOff>257631</xdr:rowOff>
    </xdr:from>
    <xdr:to>
      <xdr:col>20</xdr:col>
      <xdr:colOff>593361</xdr:colOff>
      <xdr:row>6</xdr:row>
      <xdr:rowOff>166165</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22907837" y="1324431"/>
          <a:ext cx="3196665" cy="495844"/>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15</xdr:col>
      <xdr:colOff>437732</xdr:colOff>
      <xdr:row>7</xdr:row>
      <xdr:rowOff>29407</xdr:rowOff>
    </xdr:from>
    <xdr:to>
      <xdr:col>23</xdr:col>
      <xdr:colOff>699750</xdr:colOff>
      <xdr:row>9</xdr:row>
      <xdr:rowOff>150058</xdr:rowOff>
    </xdr:to>
    <xdr:sp macro="" textlink="">
      <xdr:nvSpPr>
        <xdr:cNvPr id="14" name="Right Brace 13">
          <a:extLst>
            <a:ext uri="{FF2B5EF4-FFF2-40B4-BE49-F238E27FC236}">
              <a16:creationId xmlns:a16="http://schemas.microsoft.com/office/drawing/2014/main" id="{00000000-0008-0000-0600-00000E000000}"/>
            </a:ext>
          </a:extLst>
        </xdr:cNvPr>
        <xdr:cNvSpPr/>
      </xdr:nvSpPr>
      <xdr:spPr>
        <a:xfrm rot="16200000">
          <a:off x="24327264" y="-4048125"/>
          <a:ext cx="457201" cy="123968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4</xdr:row>
      <xdr:rowOff>257631</xdr:rowOff>
    </xdr:from>
    <xdr:to>
      <xdr:col>20</xdr:col>
      <xdr:colOff>593361</xdr:colOff>
      <xdr:row>6</xdr:row>
      <xdr:rowOff>166165</xdr:rowOff>
    </xdr:to>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22907837" y="1324431"/>
          <a:ext cx="3196665" cy="495844"/>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15</xdr:col>
      <xdr:colOff>437732</xdr:colOff>
      <xdr:row>7</xdr:row>
      <xdr:rowOff>29407</xdr:rowOff>
    </xdr:from>
    <xdr:to>
      <xdr:col>23</xdr:col>
      <xdr:colOff>699750</xdr:colOff>
      <xdr:row>9</xdr:row>
      <xdr:rowOff>150058</xdr:rowOff>
    </xdr:to>
    <xdr:sp macro="" textlink="">
      <xdr:nvSpPr>
        <xdr:cNvPr id="16" name="Right Brace 15">
          <a:extLst>
            <a:ext uri="{FF2B5EF4-FFF2-40B4-BE49-F238E27FC236}">
              <a16:creationId xmlns:a16="http://schemas.microsoft.com/office/drawing/2014/main" id="{00000000-0008-0000-0600-000010000000}"/>
            </a:ext>
          </a:extLst>
        </xdr:cNvPr>
        <xdr:cNvSpPr/>
      </xdr:nvSpPr>
      <xdr:spPr>
        <a:xfrm rot="16200000">
          <a:off x="24327264" y="-4048125"/>
          <a:ext cx="457201" cy="123968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4</xdr:row>
      <xdr:rowOff>257631</xdr:rowOff>
    </xdr:from>
    <xdr:to>
      <xdr:col>20</xdr:col>
      <xdr:colOff>593361</xdr:colOff>
      <xdr:row>6</xdr:row>
      <xdr:rowOff>166165</xdr:rowOff>
    </xdr:to>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22907837" y="1324431"/>
          <a:ext cx="3196665" cy="495844"/>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15</xdr:col>
      <xdr:colOff>437732</xdr:colOff>
      <xdr:row>7</xdr:row>
      <xdr:rowOff>29407</xdr:rowOff>
    </xdr:from>
    <xdr:to>
      <xdr:col>23</xdr:col>
      <xdr:colOff>699750</xdr:colOff>
      <xdr:row>9</xdr:row>
      <xdr:rowOff>150058</xdr:rowOff>
    </xdr:to>
    <xdr:sp macro="" textlink="">
      <xdr:nvSpPr>
        <xdr:cNvPr id="18" name="Right Brace 17">
          <a:extLst>
            <a:ext uri="{FF2B5EF4-FFF2-40B4-BE49-F238E27FC236}">
              <a16:creationId xmlns:a16="http://schemas.microsoft.com/office/drawing/2014/main" id="{00000000-0008-0000-0600-000012000000}"/>
            </a:ext>
          </a:extLst>
        </xdr:cNvPr>
        <xdr:cNvSpPr/>
      </xdr:nvSpPr>
      <xdr:spPr>
        <a:xfrm rot="16200000">
          <a:off x="24327264" y="-4048125"/>
          <a:ext cx="457201" cy="123968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4</xdr:row>
      <xdr:rowOff>257631</xdr:rowOff>
    </xdr:from>
    <xdr:to>
      <xdr:col>20</xdr:col>
      <xdr:colOff>593361</xdr:colOff>
      <xdr:row>6</xdr:row>
      <xdr:rowOff>166165</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22907837" y="1324431"/>
          <a:ext cx="3196665" cy="495844"/>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15</xdr:col>
      <xdr:colOff>437732</xdr:colOff>
      <xdr:row>7</xdr:row>
      <xdr:rowOff>29407</xdr:rowOff>
    </xdr:from>
    <xdr:to>
      <xdr:col>23</xdr:col>
      <xdr:colOff>699750</xdr:colOff>
      <xdr:row>9</xdr:row>
      <xdr:rowOff>150058</xdr:rowOff>
    </xdr:to>
    <xdr:sp macro="" textlink="">
      <xdr:nvSpPr>
        <xdr:cNvPr id="20" name="Right Brace 19">
          <a:extLst>
            <a:ext uri="{FF2B5EF4-FFF2-40B4-BE49-F238E27FC236}">
              <a16:creationId xmlns:a16="http://schemas.microsoft.com/office/drawing/2014/main" id="{00000000-0008-0000-0600-000014000000}"/>
            </a:ext>
          </a:extLst>
        </xdr:cNvPr>
        <xdr:cNvSpPr/>
      </xdr:nvSpPr>
      <xdr:spPr>
        <a:xfrm rot="16200000">
          <a:off x="24327264" y="-4048125"/>
          <a:ext cx="457201" cy="123968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4</xdr:row>
      <xdr:rowOff>257631</xdr:rowOff>
    </xdr:from>
    <xdr:to>
      <xdr:col>20</xdr:col>
      <xdr:colOff>593361</xdr:colOff>
      <xdr:row>6</xdr:row>
      <xdr:rowOff>166165</xdr:rowOff>
    </xdr:to>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22907837" y="1324431"/>
          <a:ext cx="3196665" cy="495844"/>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twoCellAnchor>
    <xdr:from>
      <xdr:col>15</xdr:col>
      <xdr:colOff>437732</xdr:colOff>
      <xdr:row>7</xdr:row>
      <xdr:rowOff>29407</xdr:rowOff>
    </xdr:from>
    <xdr:to>
      <xdr:col>23</xdr:col>
      <xdr:colOff>699750</xdr:colOff>
      <xdr:row>9</xdr:row>
      <xdr:rowOff>150058</xdr:rowOff>
    </xdr:to>
    <xdr:sp macro="" textlink="">
      <xdr:nvSpPr>
        <xdr:cNvPr id="22" name="Right Brace 21">
          <a:extLst>
            <a:ext uri="{FF2B5EF4-FFF2-40B4-BE49-F238E27FC236}">
              <a16:creationId xmlns:a16="http://schemas.microsoft.com/office/drawing/2014/main" id="{00000000-0008-0000-0600-000016000000}"/>
            </a:ext>
          </a:extLst>
        </xdr:cNvPr>
        <xdr:cNvSpPr/>
      </xdr:nvSpPr>
      <xdr:spPr>
        <a:xfrm rot="16200000">
          <a:off x="24327264" y="-4048125"/>
          <a:ext cx="457201" cy="12396866"/>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416137</xdr:colOff>
      <xdr:row>4</xdr:row>
      <xdr:rowOff>257631</xdr:rowOff>
    </xdr:from>
    <xdr:to>
      <xdr:col>20</xdr:col>
      <xdr:colOff>593361</xdr:colOff>
      <xdr:row>6</xdr:row>
      <xdr:rowOff>166165</xdr:rowOff>
    </xdr:to>
    <xdr:sp macro="" textlink="">
      <xdr:nvSpPr>
        <xdr:cNvPr id="23" name="TextBox 22">
          <a:extLst>
            <a:ext uri="{FF2B5EF4-FFF2-40B4-BE49-F238E27FC236}">
              <a16:creationId xmlns:a16="http://schemas.microsoft.com/office/drawing/2014/main" id="{00000000-0008-0000-0600-000017000000}"/>
            </a:ext>
          </a:extLst>
        </xdr:cNvPr>
        <xdr:cNvSpPr txBox="1"/>
      </xdr:nvSpPr>
      <xdr:spPr>
        <a:xfrm>
          <a:off x="22907837" y="1324431"/>
          <a:ext cx="3196665" cy="495844"/>
        </a:xfrm>
        <a:prstGeom prst="roundRect">
          <a:avLst/>
        </a:prstGeom>
        <a:solidFill>
          <a:schemeClr val="accent3">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400" b="1" i="0">
              <a:latin typeface="Calibri Light" panose="020F0302020204030204" pitchFamily="34" charset="0"/>
            </a:rPr>
            <a:t>New time buckets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18</xdr:col>
      <xdr:colOff>508212</xdr:colOff>
      <xdr:row>3</xdr:row>
      <xdr:rowOff>251281</xdr:rowOff>
    </xdr:from>
    <xdr:to>
      <xdr:col>20</xdr:col>
      <xdr:colOff>701432</xdr:colOff>
      <xdr:row>5</xdr:row>
      <xdr:rowOff>156575</xdr:rowOff>
    </xdr:to>
    <xdr:sp macro="" textlink="">
      <xdr:nvSpPr>
        <xdr:cNvPr id="2" name="TextBox 4">
          <a:extLst>
            <a:ext uri="{FF2B5EF4-FFF2-40B4-BE49-F238E27FC236}">
              <a16:creationId xmlns:a16="http://schemas.microsoft.com/office/drawing/2014/main" id="{00000000-0008-0000-0700-000002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3" name="TextBox 4">
          <a:extLst>
            <a:ext uri="{FF2B5EF4-FFF2-40B4-BE49-F238E27FC236}">
              <a16:creationId xmlns:a16="http://schemas.microsoft.com/office/drawing/2014/main" id="{00000000-0008-0000-0700-000003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4" name="TextBox 4">
          <a:extLst>
            <a:ext uri="{FF2B5EF4-FFF2-40B4-BE49-F238E27FC236}">
              <a16:creationId xmlns:a16="http://schemas.microsoft.com/office/drawing/2014/main" id="{00000000-0008-0000-0700-000004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6" name="TextBox 4">
          <a:extLst>
            <a:ext uri="{FF2B5EF4-FFF2-40B4-BE49-F238E27FC236}">
              <a16:creationId xmlns:a16="http://schemas.microsoft.com/office/drawing/2014/main" id="{00000000-0008-0000-0700-000006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8" name="TextBox 4">
          <a:extLst>
            <a:ext uri="{FF2B5EF4-FFF2-40B4-BE49-F238E27FC236}">
              <a16:creationId xmlns:a16="http://schemas.microsoft.com/office/drawing/2014/main" id="{00000000-0008-0000-0700-000008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9" name="TextBox 4">
          <a:extLst>
            <a:ext uri="{FF2B5EF4-FFF2-40B4-BE49-F238E27FC236}">
              <a16:creationId xmlns:a16="http://schemas.microsoft.com/office/drawing/2014/main" id="{00000000-0008-0000-0700-000009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10" name="TextBox 4">
          <a:extLst>
            <a:ext uri="{FF2B5EF4-FFF2-40B4-BE49-F238E27FC236}">
              <a16:creationId xmlns:a16="http://schemas.microsoft.com/office/drawing/2014/main" id="{00000000-0008-0000-0700-00000A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11" name="TextBox 4">
          <a:extLst>
            <a:ext uri="{FF2B5EF4-FFF2-40B4-BE49-F238E27FC236}">
              <a16:creationId xmlns:a16="http://schemas.microsoft.com/office/drawing/2014/main" id="{00000000-0008-0000-0700-00000B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508212</xdr:colOff>
      <xdr:row>3</xdr:row>
      <xdr:rowOff>251281</xdr:rowOff>
    </xdr:from>
    <xdr:to>
      <xdr:col>20</xdr:col>
      <xdr:colOff>701432</xdr:colOff>
      <xdr:row>5</xdr:row>
      <xdr:rowOff>156575</xdr:rowOff>
    </xdr:to>
    <xdr:sp macro="" textlink="">
      <xdr:nvSpPr>
        <xdr:cNvPr id="12" name="TextBox 4">
          <a:extLst>
            <a:ext uri="{FF2B5EF4-FFF2-40B4-BE49-F238E27FC236}">
              <a16:creationId xmlns:a16="http://schemas.microsoft.com/office/drawing/2014/main" id="{00000000-0008-0000-0700-00000C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18</xdr:col>
      <xdr:colOff>501862</xdr:colOff>
      <xdr:row>3</xdr:row>
      <xdr:rowOff>251281</xdr:rowOff>
    </xdr:from>
    <xdr:to>
      <xdr:col>20</xdr:col>
      <xdr:colOff>698214</xdr:colOff>
      <xdr:row>5</xdr:row>
      <xdr:rowOff>156575</xdr:rowOff>
    </xdr:to>
    <xdr:sp macro="" textlink="">
      <xdr:nvSpPr>
        <xdr:cNvPr id="13" name="TextBox 4">
          <a:extLst>
            <a:ext uri="{FF2B5EF4-FFF2-40B4-BE49-F238E27FC236}">
              <a16:creationId xmlns:a16="http://schemas.microsoft.com/office/drawing/2014/main" id="{00000000-0008-0000-0700-00000D000000}"/>
            </a:ext>
          </a:extLst>
        </xdr:cNvPr>
        <xdr:cNvSpPr txBox="1"/>
      </xdr:nvSpPr>
      <xdr:spPr>
        <a:xfrm>
          <a:off x="18466012" y="25763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444082</xdr:colOff>
      <xdr:row>5</xdr:row>
      <xdr:rowOff>131007</xdr:rowOff>
    </xdr:from>
    <xdr:to>
      <xdr:col>23</xdr:col>
      <xdr:colOff>744232</xdr:colOff>
      <xdr:row>7</xdr:row>
      <xdr:rowOff>150137</xdr:rowOff>
    </xdr:to>
    <xdr:sp macro="" textlink="">
      <xdr:nvSpPr>
        <xdr:cNvPr id="14" name="Right Brace 3">
          <a:extLst>
            <a:ext uri="{FF2B5EF4-FFF2-40B4-BE49-F238E27FC236}">
              <a16:creationId xmlns:a16="http://schemas.microsoft.com/office/drawing/2014/main" id="{00000000-0008-0000-0700-00000E000000}"/>
            </a:ext>
          </a:extLst>
        </xdr:cNvPr>
        <xdr:cNvSpPr/>
      </xdr:nvSpPr>
      <xdr:spPr>
        <a:xfrm rot="16200000">
          <a:off x="19604466" y="-4379927"/>
          <a:ext cx="492126" cy="10529993"/>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473287</xdr:colOff>
      <xdr:row>3</xdr:row>
      <xdr:rowOff>257631</xdr:rowOff>
    </xdr:from>
    <xdr:to>
      <xdr:col>20</xdr:col>
      <xdr:colOff>679180</xdr:colOff>
      <xdr:row>5</xdr:row>
      <xdr:rowOff>156575</xdr:rowOff>
    </xdr:to>
    <xdr:sp macro="" textlink="">
      <xdr:nvSpPr>
        <xdr:cNvPr id="15" name="TextBox 4">
          <a:extLst>
            <a:ext uri="{FF2B5EF4-FFF2-40B4-BE49-F238E27FC236}">
              <a16:creationId xmlns:a16="http://schemas.microsoft.com/office/drawing/2014/main" id="{00000000-0008-0000-0700-00000F000000}"/>
            </a:ext>
          </a:extLst>
        </xdr:cNvPr>
        <xdr:cNvSpPr txBox="1"/>
      </xdr:nvSpPr>
      <xdr:spPr>
        <a:xfrm>
          <a:off x="18453312" y="25128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444082</xdr:colOff>
      <xdr:row>5</xdr:row>
      <xdr:rowOff>131007</xdr:rowOff>
    </xdr:from>
    <xdr:to>
      <xdr:col>23</xdr:col>
      <xdr:colOff>744232</xdr:colOff>
      <xdr:row>7</xdr:row>
      <xdr:rowOff>150137</xdr:rowOff>
    </xdr:to>
    <xdr:sp macro="" textlink="">
      <xdr:nvSpPr>
        <xdr:cNvPr id="16" name="Right Brace 3">
          <a:extLst>
            <a:ext uri="{FF2B5EF4-FFF2-40B4-BE49-F238E27FC236}">
              <a16:creationId xmlns:a16="http://schemas.microsoft.com/office/drawing/2014/main" id="{00000000-0008-0000-0700-000010000000}"/>
            </a:ext>
          </a:extLst>
        </xdr:cNvPr>
        <xdr:cNvSpPr/>
      </xdr:nvSpPr>
      <xdr:spPr>
        <a:xfrm rot="16200000">
          <a:off x="19604466" y="-4379927"/>
          <a:ext cx="492126" cy="10529993"/>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473287</xdr:colOff>
      <xdr:row>3</xdr:row>
      <xdr:rowOff>257631</xdr:rowOff>
    </xdr:from>
    <xdr:to>
      <xdr:col>20</xdr:col>
      <xdr:colOff>679180</xdr:colOff>
      <xdr:row>5</xdr:row>
      <xdr:rowOff>156575</xdr:rowOff>
    </xdr:to>
    <xdr:sp macro="" textlink="">
      <xdr:nvSpPr>
        <xdr:cNvPr id="17" name="TextBox 4">
          <a:extLst>
            <a:ext uri="{FF2B5EF4-FFF2-40B4-BE49-F238E27FC236}">
              <a16:creationId xmlns:a16="http://schemas.microsoft.com/office/drawing/2014/main" id="{00000000-0008-0000-0700-000011000000}"/>
            </a:ext>
          </a:extLst>
        </xdr:cNvPr>
        <xdr:cNvSpPr txBox="1"/>
      </xdr:nvSpPr>
      <xdr:spPr>
        <a:xfrm>
          <a:off x="18453312" y="25128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444082</xdr:colOff>
      <xdr:row>5</xdr:row>
      <xdr:rowOff>131007</xdr:rowOff>
    </xdr:from>
    <xdr:to>
      <xdr:col>23</xdr:col>
      <xdr:colOff>744232</xdr:colOff>
      <xdr:row>7</xdr:row>
      <xdr:rowOff>150137</xdr:rowOff>
    </xdr:to>
    <xdr:sp macro="" textlink="">
      <xdr:nvSpPr>
        <xdr:cNvPr id="18" name="Right Brace 3">
          <a:extLst>
            <a:ext uri="{FF2B5EF4-FFF2-40B4-BE49-F238E27FC236}">
              <a16:creationId xmlns:a16="http://schemas.microsoft.com/office/drawing/2014/main" id="{00000000-0008-0000-0700-000012000000}"/>
            </a:ext>
          </a:extLst>
        </xdr:cNvPr>
        <xdr:cNvSpPr/>
      </xdr:nvSpPr>
      <xdr:spPr>
        <a:xfrm rot="16200000">
          <a:off x="19604466" y="-4379927"/>
          <a:ext cx="492126" cy="10529993"/>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473287</xdr:colOff>
      <xdr:row>3</xdr:row>
      <xdr:rowOff>257631</xdr:rowOff>
    </xdr:from>
    <xdr:to>
      <xdr:col>20</xdr:col>
      <xdr:colOff>679180</xdr:colOff>
      <xdr:row>5</xdr:row>
      <xdr:rowOff>156575</xdr:rowOff>
    </xdr:to>
    <xdr:sp macro="" textlink="">
      <xdr:nvSpPr>
        <xdr:cNvPr id="19" name="TextBox 4">
          <a:extLst>
            <a:ext uri="{FF2B5EF4-FFF2-40B4-BE49-F238E27FC236}">
              <a16:creationId xmlns:a16="http://schemas.microsoft.com/office/drawing/2014/main" id="{00000000-0008-0000-0700-000013000000}"/>
            </a:ext>
          </a:extLst>
        </xdr:cNvPr>
        <xdr:cNvSpPr txBox="1"/>
      </xdr:nvSpPr>
      <xdr:spPr>
        <a:xfrm>
          <a:off x="18453312" y="25128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444082</xdr:colOff>
      <xdr:row>5</xdr:row>
      <xdr:rowOff>131007</xdr:rowOff>
    </xdr:from>
    <xdr:to>
      <xdr:col>23</xdr:col>
      <xdr:colOff>744232</xdr:colOff>
      <xdr:row>7</xdr:row>
      <xdr:rowOff>150137</xdr:rowOff>
    </xdr:to>
    <xdr:sp macro="" textlink="">
      <xdr:nvSpPr>
        <xdr:cNvPr id="20" name="Right Brace 3">
          <a:extLst>
            <a:ext uri="{FF2B5EF4-FFF2-40B4-BE49-F238E27FC236}">
              <a16:creationId xmlns:a16="http://schemas.microsoft.com/office/drawing/2014/main" id="{00000000-0008-0000-0700-000014000000}"/>
            </a:ext>
          </a:extLst>
        </xdr:cNvPr>
        <xdr:cNvSpPr/>
      </xdr:nvSpPr>
      <xdr:spPr>
        <a:xfrm rot="16200000">
          <a:off x="19604466" y="-4379927"/>
          <a:ext cx="492126" cy="10529993"/>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473287</xdr:colOff>
      <xdr:row>3</xdr:row>
      <xdr:rowOff>257631</xdr:rowOff>
    </xdr:from>
    <xdr:to>
      <xdr:col>20</xdr:col>
      <xdr:colOff>679180</xdr:colOff>
      <xdr:row>5</xdr:row>
      <xdr:rowOff>156575</xdr:rowOff>
    </xdr:to>
    <xdr:sp macro="" textlink="">
      <xdr:nvSpPr>
        <xdr:cNvPr id="21" name="TextBox 4">
          <a:extLst>
            <a:ext uri="{FF2B5EF4-FFF2-40B4-BE49-F238E27FC236}">
              <a16:creationId xmlns:a16="http://schemas.microsoft.com/office/drawing/2014/main" id="{00000000-0008-0000-0700-000015000000}"/>
            </a:ext>
          </a:extLst>
        </xdr:cNvPr>
        <xdr:cNvSpPr txBox="1"/>
      </xdr:nvSpPr>
      <xdr:spPr>
        <a:xfrm>
          <a:off x="18453312" y="25128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444082</xdr:colOff>
      <xdr:row>5</xdr:row>
      <xdr:rowOff>131007</xdr:rowOff>
    </xdr:from>
    <xdr:to>
      <xdr:col>23</xdr:col>
      <xdr:colOff>744232</xdr:colOff>
      <xdr:row>7</xdr:row>
      <xdr:rowOff>150137</xdr:rowOff>
    </xdr:to>
    <xdr:sp macro="" textlink="">
      <xdr:nvSpPr>
        <xdr:cNvPr id="22" name="Right Brace 3">
          <a:extLst>
            <a:ext uri="{FF2B5EF4-FFF2-40B4-BE49-F238E27FC236}">
              <a16:creationId xmlns:a16="http://schemas.microsoft.com/office/drawing/2014/main" id="{00000000-0008-0000-0700-000016000000}"/>
            </a:ext>
          </a:extLst>
        </xdr:cNvPr>
        <xdr:cNvSpPr/>
      </xdr:nvSpPr>
      <xdr:spPr>
        <a:xfrm rot="16200000">
          <a:off x="19604466" y="-4379927"/>
          <a:ext cx="492126" cy="10529993"/>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473287</xdr:colOff>
      <xdr:row>3</xdr:row>
      <xdr:rowOff>257631</xdr:rowOff>
    </xdr:from>
    <xdr:to>
      <xdr:col>20</xdr:col>
      <xdr:colOff>679180</xdr:colOff>
      <xdr:row>5</xdr:row>
      <xdr:rowOff>156575</xdr:rowOff>
    </xdr:to>
    <xdr:sp macro="" textlink="">
      <xdr:nvSpPr>
        <xdr:cNvPr id="23" name="TextBox 4">
          <a:extLst>
            <a:ext uri="{FF2B5EF4-FFF2-40B4-BE49-F238E27FC236}">
              <a16:creationId xmlns:a16="http://schemas.microsoft.com/office/drawing/2014/main" id="{00000000-0008-0000-0700-000017000000}"/>
            </a:ext>
          </a:extLst>
        </xdr:cNvPr>
        <xdr:cNvSpPr txBox="1"/>
      </xdr:nvSpPr>
      <xdr:spPr>
        <a:xfrm>
          <a:off x="18453312" y="25128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twoCellAnchor>
    <xdr:from>
      <xdr:col>15</xdr:col>
      <xdr:colOff>444082</xdr:colOff>
      <xdr:row>5</xdr:row>
      <xdr:rowOff>131007</xdr:rowOff>
    </xdr:from>
    <xdr:to>
      <xdr:col>23</xdr:col>
      <xdr:colOff>744232</xdr:colOff>
      <xdr:row>7</xdr:row>
      <xdr:rowOff>150137</xdr:rowOff>
    </xdr:to>
    <xdr:sp macro="" textlink="">
      <xdr:nvSpPr>
        <xdr:cNvPr id="24" name="Right Brace 3">
          <a:extLst>
            <a:ext uri="{FF2B5EF4-FFF2-40B4-BE49-F238E27FC236}">
              <a16:creationId xmlns:a16="http://schemas.microsoft.com/office/drawing/2014/main" id="{00000000-0008-0000-0700-000018000000}"/>
            </a:ext>
          </a:extLst>
        </xdr:cNvPr>
        <xdr:cNvSpPr/>
      </xdr:nvSpPr>
      <xdr:spPr>
        <a:xfrm rot="16200000">
          <a:off x="19604466" y="-4379927"/>
          <a:ext cx="492126" cy="10529993"/>
        </a:xfrm>
        <a:prstGeom prst="rightBrac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18</xdr:col>
      <xdr:colOff>473287</xdr:colOff>
      <xdr:row>3</xdr:row>
      <xdr:rowOff>257631</xdr:rowOff>
    </xdr:from>
    <xdr:to>
      <xdr:col>20</xdr:col>
      <xdr:colOff>679180</xdr:colOff>
      <xdr:row>5</xdr:row>
      <xdr:rowOff>156575</xdr:rowOff>
    </xdr:to>
    <xdr:sp macro="" textlink="">
      <xdr:nvSpPr>
        <xdr:cNvPr id="25" name="TextBox 4">
          <a:extLst>
            <a:ext uri="{FF2B5EF4-FFF2-40B4-BE49-F238E27FC236}">
              <a16:creationId xmlns:a16="http://schemas.microsoft.com/office/drawing/2014/main" id="{00000000-0008-0000-0700-000019000000}"/>
            </a:ext>
          </a:extLst>
        </xdr:cNvPr>
        <xdr:cNvSpPr txBox="1"/>
      </xdr:nvSpPr>
      <xdr:spPr>
        <a:xfrm>
          <a:off x="18453312" y="251281"/>
          <a:ext cx="2758593" cy="41329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i="1"/>
            <a:t>New time buckets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niserver-file\Report\TRS%202021\Monthly%20Report\MONTHLY%20REPORT%2001JAN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36.76\mrp%202026\Middle%20Office\Risiko%20Likuiditas\Maturity%20Profile%20KLN\06.%20Juni%202026\Maturity%20profile\Data%20Maturity%20Profile%20&amp;%20RR%20-%20Juni%202026\Data%20Maturity%20Profile\Maturity%20Profile%20Report_NY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21.61\d\Maturity%20Profile%20KLN\Likuiditas%20KLN\2024\04%20April%202024\Maturity%20Profile\Data%20Maturity%20Profile%20&amp;%20RR%20-April%202024\Data%20Maturity%20Profile\Maturity%20Profile%20-%20NY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7.36.76\mrp%202026\Middle%20Office\Risiko%20Likuiditas\Maturity%20Profile%20KLN\05.%20Mei%202026\Maturity%20profile\Kertas%20Kerja%20Maturity%20Profile\Profil%20Maturitas%20all%20KLN%20-%20Mei%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CO"/>
      <sheetName val="Maturity Profile Report"/>
      <sheetName val="Otomasi adjst"/>
      <sheetName val="Perspective"/>
      <sheetName val="BS"/>
      <sheetName val="F1"/>
      <sheetName val="USD-Funding"/>
      <sheetName val="USD-EarningAssets"/>
      <sheetName val="JPY-Funding"/>
      <sheetName val="JPY-EarningAssets"/>
      <sheetName val="Earning Asset Comp."/>
      <sheetName val="CASHFLOW-ALCO"/>
      <sheetName val="CASHFLOW-M"/>
      <sheetName val="TD&amp;CA"/>
      <sheetName val="SAVING AC"/>
      <sheetName val="DL0660P1"/>
      <sheetName val="FX"/>
      <sheetName val="SWAP"/>
      <sheetName val="a.BA"/>
      <sheetName val="b.Form2"/>
      <sheetName val="c-1.Tam fr 1 JAN"/>
      <sheetName val="c-2.Tam 2019 "/>
      <sheetName val="d.Form3"/>
      <sheetName val="E. "/>
      <sheetName val="g-1.Form1 fr 1 JAN"/>
      <sheetName val="g-2.2019"/>
      <sheetName val="l.Sheet9"/>
      <sheetName val="m.Sheet4"/>
      <sheetName val="n.INT"/>
      <sheetName val="Form (ENG)"/>
      <sheetName val="MM-report"/>
      <sheetName val="Sheet10"/>
      <sheetName val="Form"/>
      <sheetName val="市場リスク関連の報告"/>
      <sheetName val="Report_List_of_Today_s_Deals_Se"/>
      <sheetName val="2大口調達先"/>
      <sheetName val="金利更改JPY"/>
      <sheetName val="金利更改USD"/>
      <sheetName val="Portfolio"/>
      <sheetName val="1マチュリティ・ラダー"/>
      <sheetName val="CSD"/>
      <sheetName val="BNS (2)"/>
      <sheetName val="TRS"/>
      <sheetName val="LON"/>
      <sheetName val="Loan"/>
      <sheetName val="BNS"/>
      <sheetName val="GL"/>
      <sheetName val="P USD"/>
      <sheetName val="B JPY"/>
      <sheetName val="in CCY"/>
      <sheetName val="SEC BUY&amp;SELL"/>
      <sheetName val="MANUAL1."/>
      <sheetName val="Sheet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urity Profile (Eng)"/>
      <sheetName val="Maturity Profile (Indo)"/>
      <sheetName val="Liabilities"/>
      <sheetName val="SEC-AFS"/>
      <sheetName val="Sec-HTM"/>
      <sheetName val="Loan"/>
      <sheetName val="Export Bills Discounted"/>
      <sheetName val="TRADE ADVANCE"/>
      <sheetName val="Data List"/>
    </sheetNames>
    <sheetDataSet>
      <sheetData sheetId="0">
        <row r="15">
          <cell r="J15">
            <v>0.54010000000000002</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row>
        <row r="17">
          <cell r="J17">
            <v>1358988.62882</v>
          </cell>
          <cell r="K17">
            <v>40000</v>
          </cell>
          <cell r="L17">
            <v>0</v>
          </cell>
          <cell r="M17">
            <v>24000</v>
          </cell>
          <cell r="N17">
            <v>0</v>
          </cell>
          <cell r="O17">
            <v>0</v>
          </cell>
          <cell r="P17">
            <v>0</v>
          </cell>
          <cell r="Q17">
            <v>0</v>
          </cell>
          <cell r="R17">
            <v>0</v>
          </cell>
          <cell r="S17">
            <v>0</v>
          </cell>
          <cell r="T17">
            <v>0</v>
          </cell>
          <cell r="U17">
            <v>0</v>
          </cell>
          <cell r="V17">
            <v>0</v>
          </cell>
          <cell r="W17">
            <v>0</v>
          </cell>
          <cell r="X17">
            <v>0</v>
          </cell>
        </row>
        <row r="20">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row>
        <row r="21">
          <cell r="J21">
            <v>0</v>
          </cell>
          <cell r="K21">
            <v>0</v>
          </cell>
          <cell r="L21">
            <v>0</v>
          </cell>
          <cell r="M21">
            <v>5005.3499999999995</v>
          </cell>
          <cell r="N21">
            <v>0</v>
          </cell>
          <cell r="O21">
            <v>4980.75</v>
          </cell>
          <cell r="P21">
            <v>7390.6632812500002</v>
          </cell>
          <cell r="Q21">
            <v>0</v>
          </cell>
          <cell r="R21">
            <v>9810.0499999999993</v>
          </cell>
          <cell r="S21">
            <v>15389.288437499999</v>
          </cell>
          <cell r="T21">
            <v>24303.4</v>
          </cell>
          <cell r="U21">
            <v>4747.8500000000004</v>
          </cell>
          <cell r="V21">
            <v>0</v>
          </cell>
          <cell r="W21">
            <v>0</v>
          </cell>
          <cell r="X21">
            <v>3209.8999999999996</v>
          </cell>
        </row>
        <row r="22">
          <cell r="K22">
            <v>0</v>
          </cell>
          <cell r="L22">
            <v>0</v>
          </cell>
          <cell r="M22">
            <v>0</v>
          </cell>
          <cell r="N22">
            <v>0</v>
          </cell>
          <cell r="O22">
            <v>2501.5231564748206</v>
          </cell>
          <cell r="P22">
            <v>6005.4872714028525</v>
          </cell>
          <cell r="Q22">
            <v>0</v>
          </cell>
          <cell r="R22">
            <v>2353.503131524008</v>
          </cell>
          <cell r="S22">
            <v>3996.5977971646676</v>
          </cell>
          <cell r="T22">
            <v>44245.501265819592</v>
          </cell>
          <cell r="U22">
            <v>8959.9616864609707</v>
          </cell>
        </row>
        <row r="23">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row>
        <row r="24">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6">
          <cell r="J26">
            <v>1583.29449</v>
          </cell>
          <cell r="K26">
            <v>2218.35</v>
          </cell>
          <cell r="L26">
            <v>3816.9479000000001</v>
          </cell>
          <cell r="M26">
            <v>16646.087950000001</v>
          </cell>
          <cell r="N26">
            <v>30627.220819999999</v>
          </cell>
          <cell r="O26">
            <v>49292.512640000001</v>
          </cell>
          <cell r="P26">
            <v>108855.8695</v>
          </cell>
          <cell r="Q26">
            <v>262743.61559</v>
          </cell>
          <cell r="R26">
            <v>31094.038619999999</v>
          </cell>
          <cell r="S26">
            <v>84965.931580000004</v>
          </cell>
          <cell r="T26">
            <v>69482.666830000002</v>
          </cell>
          <cell r="U26">
            <v>59999.281629999998</v>
          </cell>
          <cell r="V26">
            <v>0</v>
          </cell>
          <cell r="W26">
            <v>0</v>
          </cell>
          <cell r="X26">
            <v>0</v>
          </cell>
        </row>
        <row r="27">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row>
        <row r="29">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row>
        <row r="36">
          <cell r="J36">
            <v>92853.899200000014</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9">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J40">
            <v>0</v>
          </cell>
          <cell r="K40">
            <v>0</v>
          </cell>
          <cell r="L40">
            <v>0</v>
          </cell>
          <cell r="M40">
            <v>385</v>
          </cell>
          <cell r="N40">
            <v>0</v>
          </cell>
          <cell r="O40">
            <v>0</v>
          </cell>
          <cell r="P40">
            <v>0</v>
          </cell>
          <cell r="Q40">
            <v>0</v>
          </cell>
          <cell r="R40">
            <v>0</v>
          </cell>
          <cell r="S40">
            <v>0</v>
          </cell>
          <cell r="T40">
            <v>0</v>
          </cell>
          <cell r="U40">
            <v>0</v>
          </cell>
          <cell r="V40">
            <v>0</v>
          </cell>
          <cell r="W40">
            <v>0</v>
          </cell>
          <cell r="X40">
            <v>0</v>
          </cell>
        </row>
        <row r="41">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row>
        <row r="42">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J43">
            <v>1138000</v>
          </cell>
          <cell r="K43">
            <v>2900</v>
          </cell>
          <cell r="L43">
            <v>47000</v>
          </cell>
          <cell r="M43">
            <v>43200</v>
          </cell>
          <cell r="N43">
            <v>0</v>
          </cell>
          <cell r="O43">
            <v>8800</v>
          </cell>
          <cell r="P43">
            <v>0</v>
          </cell>
          <cell r="Q43">
            <v>0</v>
          </cell>
          <cell r="R43">
            <v>0</v>
          </cell>
          <cell r="S43">
            <v>115000</v>
          </cell>
          <cell r="T43">
            <v>0</v>
          </cell>
          <cell r="U43">
            <v>0</v>
          </cell>
          <cell r="V43">
            <v>0</v>
          </cell>
          <cell r="W43">
            <v>0</v>
          </cell>
          <cell r="X43">
            <v>0</v>
          </cell>
        </row>
        <row r="45">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9">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2">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row>
        <row r="53">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row>
        <row r="61">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4">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row>
        <row r="65">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row>
        <row r="66">
          <cell r="J66">
            <v>37990.588210000002</v>
          </cell>
          <cell r="K66">
            <v>0</v>
          </cell>
          <cell r="L66">
            <v>0</v>
          </cell>
          <cell r="M66">
            <v>0</v>
          </cell>
          <cell r="N66">
            <v>0</v>
          </cell>
          <cell r="O66">
            <v>0</v>
          </cell>
          <cell r="P66">
            <v>0</v>
          </cell>
          <cell r="Q66">
            <v>0</v>
          </cell>
          <cell r="R66">
            <v>0</v>
          </cell>
          <cell r="S66">
            <v>0</v>
          </cell>
          <cell r="T66">
            <v>0</v>
          </cell>
          <cell r="U66">
            <v>0</v>
          </cell>
          <cell r="V66">
            <v>0</v>
          </cell>
          <cell r="W66">
            <v>0</v>
          </cell>
          <cell r="X66">
            <v>0</v>
          </cell>
        </row>
        <row r="70">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row>
        <row r="71">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row>
        <row r="73">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row>
        <row r="75">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J76">
            <v>37990.588210000002</v>
          </cell>
          <cell r="K76">
            <v>0</v>
          </cell>
          <cell r="L76">
            <v>0</v>
          </cell>
          <cell r="M76">
            <v>0</v>
          </cell>
          <cell r="N76">
            <v>0</v>
          </cell>
          <cell r="O76">
            <v>0</v>
          </cell>
          <cell r="P76">
            <v>0</v>
          </cell>
          <cell r="Q76">
            <v>0</v>
          </cell>
          <cell r="R76">
            <v>0</v>
          </cell>
          <cell r="S76">
            <v>0</v>
          </cell>
          <cell r="T76">
            <v>0</v>
          </cell>
          <cell r="U76">
            <v>0</v>
          </cell>
          <cell r="V76">
            <v>0</v>
          </cell>
          <cell r="W76">
            <v>0</v>
          </cell>
          <cell r="X7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urity Profile (Eng)"/>
      <sheetName val="Maturity Profile (Indo)"/>
      <sheetName val="Sec-HTM"/>
      <sheetName val="SEC-AFS"/>
      <sheetName val="Loan"/>
      <sheetName val="Export Bills Discounted"/>
      <sheetName val="TRADE ADVANCE"/>
      <sheetName val="Liabilities"/>
      <sheetName val="Data List"/>
    </sheetNames>
    <sheetDataSet>
      <sheetData sheetId="0">
        <row r="40">
          <cell r="AD40">
            <v>75485</v>
          </cell>
        </row>
        <row r="43">
          <cell r="AE43">
            <v>181000</v>
          </cell>
        </row>
      </sheetData>
      <sheetData sheetId="1"/>
      <sheetData sheetId="2"/>
      <sheetData sheetId="3"/>
      <sheetData sheetId="4"/>
      <sheetData sheetId="5"/>
      <sheetData sheetId="6">
        <row r="8">
          <cell r="D8">
            <v>0</v>
          </cell>
        </row>
      </sheetData>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
      <sheetName val="Sheet3"/>
      <sheetName val="HK"/>
      <sheetName val="LDN"/>
      <sheetName val="NY"/>
      <sheetName val="SEO"/>
      <sheetName val="SG"/>
      <sheetName val="TKY"/>
    </sheetNames>
    <sheetDataSet>
      <sheetData sheetId="0"/>
      <sheetData sheetId="1"/>
      <sheetData sheetId="2"/>
      <sheetData sheetId="3"/>
      <sheetData sheetId="4">
        <row r="43">
          <cell r="J43">
            <v>123000</v>
          </cell>
          <cell r="K43">
            <v>0</v>
          </cell>
          <cell r="L43">
            <v>53200</v>
          </cell>
        </row>
      </sheetData>
      <sheetData sheetId="5">
        <row r="17">
          <cell r="J17">
            <v>23250</v>
          </cell>
        </row>
      </sheetData>
      <sheetData sheetId="6">
        <row r="38">
          <cell r="J38">
            <v>173015.70240999997</v>
          </cell>
        </row>
        <row r="40">
          <cell r="J40">
            <v>7721.9797600000002</v>
          </cell>
          <cell r="K40">
            <v>19698.429970000001</v>
          </cell>
          <cell r="L40">
            <v>81834.466799999995</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4"/>
  <sheetViews>
    <sheetView zoomScale="85" zoomScaleNormal="85" zoomScaleSheetLayoutView="100" workbookViewId="0">
      <selection activeCell="A4" sqref="A4:G10"/>
    </sheetView>
  </sheetViews>
  <sheetFormatPr defaultRowHeight="15"/>
  <cols>
    <col min="1" max="1" width="14.28515625" bestFit="1" customWidth="1"/>
    <col min="2" max="4" width="11.140625" bestFit="1" customWidth="1"/>
    <col min="5" max="5" width="15" style="2" bestFit="1" customWidth="1"/>
    <col min="6" max="6" width="20.5703125" style="2" bestFit="1" customWidth="1"/>
    <col min="7" max="7" width="10.5703125" style="2" bestFit="1" customWidth="1"/>
    <col min="8" max="8" width="3.7109375" style="2" customWidth="1"/>
    <col min="9" max="10" width="10.85546875" bestFit="1" customWidth="1"/>
    <col min="11" max="11" width="9.85546875" bestFit="1" customWidth="1"/>
  </cols>
  <sheetData>
    <row r="1" spans="1:13">
      <c r="A1" s="8" t="s">
        <v>0</v>
      </c>
    </row>
    <row r="2" spans="1:13">
      <c r="A2" t="s">
        <v>1</v>
      </c>
    </row>
    <row r="3" spans="1:13">
      <c r="F3" s="1197" t="s">
        <v>2</v>
      </c>
      <c r="G3" s="1197"/>
    </row>
    <row r="4" spans="1:13">
      <c r="A4" s="4">
        <v>46203</v>
      </c>
      <c r="B4" s="5" t="s">
        <v>3</v>
      </c>
      <c r="C4" s="5" t="s">
        <v>4</v>
      </c>
      <c r="D4" s="5" t="s">
        <v>5</v>
      </c>
      <c r="E4" s="5" t="s">
        <v>6</v>
      </c>
      <c r="F4" s="5" t="s">
        <v>7</v>
      </c>
      <c r="G4" s="5" t="s">
        <v>8</v>
      </c>
    </row>
    <row r="5" spans="1:13">
      <c r="A5" s="6" t="s">
        <v>9</v>
      </c>
      <c r="B5" s="72">
        <f>HK!J6</f>
        <v>666419</v>
      </c>
      <c r="C5" s="86">
        <f>HK!J7</f>
        <v>281066</v>
      </c>
      <c r="D5" s="72">
        <f t="shared" ref="D5:D10" si="0">B5-C5</f>
        <v>385353</v>
      </c>
      <c r="E5" s="73">
        <f t="shared" ref="E5:E10" si="1">B5/C5</f>
        <v>2.3710409654671856</v>
      </c>
      <c r="F5" s="74" t="s">
        <v>10</v>
      </c>
      <c r="G5" s="3" t="str">
        <f t="shared" ref="G5:G10" si="2">IF(E5&gt;100%,"Green",IF(E5&gt;70%,"Yellow","Red"))</f>
        <v>Green</v>
      </c>
      <c r="H5" s="2" t="s">
        <v>11</v>
      </c>
      <c r="I5" s="62">
        <f>B5-B19</f>
        <v>86914</v>
      </c>
      <c r="J5" s="62">
        <f>C5-C19</f>
        <v>34390</v>
      </c>
      <c r="M5" s="1193">
        <f t="shared" ref="M5:M10" si="3">E5-E19</f>
        <v>2.1785261628952224E-2</v>
      </c>
    </row>
    <row r="6" spans="1:13">
      <c r="A6" s="6" t="s">
        <v>12</v>
      </c>
      <c r="B6" s="72">
        <f>LDN!J8</f>
        <v>88446</v>
      </c>
      <c r="C6" s="80">
        <f>LDN!J9</f>
        <v>64768</v>
      </c>
      <c r="D6" s="72">
        <f t="shared" si="0"/>
        <v>23678</v>
      </c>
      <c r="E6" s="73">
        <f t="shared" si="1"/>
        <v>1.3655817687747036</v>
      </c>
      <c r="F6" s="74" t="s">
        <v>10</v>
      </c>
      <c r="G6" s="3" t="str">
        <f t="shared" si="2"/>
        <v>Green</v>
      </c>
      <c r="H6" s="2" t="s">
        <v>11</v>
      </c>
      <c r="I6" s="62">
        <f>B6-B20</f>
        <v>3613</v>
      </c>
      <c r="J6" s="62">
        <f t="shared" ref="I6:J8" si="4">C6-C20</f>
        <v>24043</v>
      </c>
      <c r="M6" s="1193">
        <f t="shared" si="3"/>
        <v>-0.71748759893554803</v>
      </c>
    </row>
    <row r="7" spans="1:13">
      <c r="A7" s="6" t="s">
        <v>13</v>
      </c>
      <c r="B7" s="75">
        <f>NY!J9</f>
        <v>1444597.58821</v>
      </c>
      <c r="C7" s="75">
        <f>NY!J8</f>
        <v>1318744.58821</v>
      </c>
      <c r="D7" s="72">
        <f t="shared" si="0"/>
        <v>125853</v>
      </c>
      <c r="E7" s="73">
        <f t="shared" si="1"/>
        <v>1.0954339461372324</v>
      </c>
      <c r="F7" s="74" t="s">
        <v>10</v>
      </c>
      <c r="G7" s="10" t="str">
        <f t="shared" si="2"/>
        <v>Green</v>
      </c>
      <c r="H7" s="2" t="s">
        <v>11</v>
      </c>
      <c r="I7" s="62">
        <f t="shared" si="4"/>
        <v>1041978.77221</v>
      </c>
      <c r="J7" s="62">
        <f t="shared" si="4"/>
        <v>1032114.77221</v>
      </c>
      <c r="M7" s="1193">
        <f t="shared" si="3"/>
        <v>-0.30923086375121267</v>
      </c>
    </row>
    <row r="8" spans="1:13">
      <c r="A8" s="6" t="s">
        <v>14</v>
      </c>
      <c r="B8" s="72">
        <f>SEO!K8</f>
        <v>37739</v>
      </c>
      <c r="C8" s="72">
        <f>SEO!K9</f>
        <v>2527</v>
      </c>
      <c r="D8" s="72">
        <f t="shared" si="0"/>
        <v>35212</v>
      </c>
      <c r="E8" s="73">
        <f t="shared" si="1"/>
        <v>14.934309457855164</v>
      </c>
      <c r="F8" s="74" t="s">
        <v>10</v>
      </c>
      <c r="G8" s="10" t="str">
        <f t="shared" si="2"/>
        <v>Green</v>
      </c>
      <c r="H8" s="2" t="s">
        <v>11</v>
      </c>
      <c r="I8" s="62">
        <f t="shared" si="4"/>
        <v>12683</v>
      </c>
      <c r="J8" s="62">
        <f t="shared" si="4"/>
        <v>-13</v>
      </c>
      <c r="M8" s="1193">
        <f t="shared" si="3"/>
        <v>5.0697425287213065</v>
      </c>
    </row>
    <row r="9" spans="1:13">
      <c r="A9" s="6" t="s">
        <v>15</v>
      </c>
      <c r="B9" s="72">
        <f>SG!N8</f>
        <v>490287</v>
      </c>
      <c r="C9" s="72">
        <f>SG!N9</f>
        <v>431818</v>
      </c>
      <c r="D9" s="72">
        <f>B9-C9</f>
        <v>58469</v>
      </c>
      <c r="E9" s="73">
        <f t="shared" si="1"/>
        <v>1.1354019517481901</v>
      </c>
      <c r="F9" s="74" t="s">
        <v>10</v>
      </c>
      <c r="G9" s="3" t="str">
        <f>IF(E9&gt;100%,"Green",IF(E9&gt;70%,"Yellow","Red"))</f>
        <v>Green</v>
      </c>
      <c r="H9" s="2" t="s">
        <v>11</v>
      </c>
      <c r="I9" s="62">
        <f>B9-B23</f>
        <v>-99751</v>
      </c>
      <c r="J9" s="62">
        <f>C9-C23</f>
        <v>71714</v>
      </c>
      <c r="M9" s="1193">
        <f t="shared" si="3"/>
        <v>-0.50311914215801479</v>
      </c>
    </row>
    <row r="10" spans="1:13">
      <c r="A10" s="6" t="s">
        <v>16</v>
      </c>
      <c r="B10" s="75">
        <f>TKY!J7</f>
        <v>596768</v>
      </c>
      <c r="C10" s="75">
        <f>TKY!J8</f>
        <v>476706</v>
      </c>
      <c r="D10" s="72">
        <f t="shared" si="0"/>
        <v>120062</v>
      </c>
      <c r="E10" s="73">
        <f t="shared" si="1"/>
        <v>1.251857539028248</v>
      </c>
      <c r="F10" s="74" t="s">
        <v>10</v>
      </c>
      <c r="G10" s="3" t="str">
        <f t="shared" si="2"/>
        <v>Green</v>
      </c>
      <c r="H10" s="2" t="s">
        <v>11</v>
      </c>
      <c r="I10" s="62">
        <f>B10-B24</f>
        <v>-55305</v>
      </c>
      <c r="J10" s="62">
        <f>C10-C24</f>
        <v>-43622</v>
      </c>
      <c r="M10" s="1193">
        <f t="shared" si="3"/>
        <v>-1.3385219179242736E-3</v>
      </c>
    </row>
    <row r="11" spans="1:13">
      <c r="M11" s="1193"/>
    </row>
    <row r="12" spans="1:13">
      <c r="D12" s="62"/>
      <c r="E12" s="1"/>
      <c r="F12" s="1"/>
    </row>
    <row r="15" spans="1:13">
      <c r="A15" s="8" t="s">
        <v>0</v>
      </c>
      <c r="J15" s="62"/>
      <c r="K15" s="62"/>
    </row>
    <row r="16" spans="1:13">
      <c r="A16" t="s">
        <v>1</v>
      </c>
    </row>
    <row r="17" spans="1:7">
      <c r="B17" s="62">
        <f>B6-B20</f>
        <v>3613</v>
      </c>
      <c r="C17" s="62">
        <f>C6-C20</f>
        <v>24043</v>
      </c>
      <c r="F17" s="1197" t="s">
        <v>2</v>
      </c>
      <c r="G17" s="1197"/>
    </row>
    <row r="18" spans="1:7">
      <c r="A18" s="4">
        <v>46173</v>
      </c>
      <c r="B18" s="5" t="s">
        <v>3</v>
      </c>
      <c r="C18" s="5" t="s">
        <v>4</v>
      </c>
      <c r="D18" s="5" t="s">
        <v>5</v>
      </c>
      <c r="E18" s="5" t="s">
        <v>6</v>
      </c>
      <c r="F18" s="5" t="s">
        <v>7</v>
      </c>
      <c r="G18" s="5" t="s">
        <v>8</v>
      </c>
    </row>
    <row r="19" spans="1:7">
      <c r="A19" s="11" t="s">
        <v>9</v>
      </c>
      <c r="B19" s="12">
        <v>579505</v>
      </c>
      <c r="C19" s="12">
        <v>246676</v>
      </c>
      <c r="D19" s="12">
        <v>332829</v>
      </c>
      <c r="E19" s="13">
        <v>2.3492557038382333</v>
      </c>
      <c r="F19" s="71" t="s">
        <v>10</v>
      </c>
      <c r="G19" s="3" t="s">
        <v>17</v>
      </c>
    </row>
    <row r="20" spans="1:7">
      <c r="A20" s="6" t="s">
        <v>12</v>
      </c>
      <c r="B20" s="12">
        <v>84833</v>
      </c>
      <c r="C20" s="9">
        <v>40725</v>
      </c>
      <c r="D20" s="12">
        <v>44108</v>
      </c>
      <c r="E20" s="13">
        <v>2.0830693677102516</v>
      </c>
      <c r="F20" s="71" t="s">
        <v>10</v>
      </c>
      <c r="G20" s="3" t="s">
        <v>17</v>
      </c>
    </row>
    <row r="21" spans="1:7">
      <c r="A21" s="6" t="s">
        <v>13</v>
      </c>
      <c r="B21" s="7">
        <v>402618.81599999999</v>
      </c>
      <c r="C21" s="7">
        <v>286629.81599999999</v>
      </c>
      <c r="D21" s="12">
        <v>115989</v>
      </c>
      <c r="E21" s="13">
        <v>1.4046648098884451</v>
      </c>
      <c r="F21" s="71" t="s">
        <v>10</v>
      </c>
      <c r="G21" s="3" t="s">
        <v>17</v>
      </c>
    </row>
    <row r="22" spans="1:7">
      <c r="A22" s="6" t="s">
        <v>14</v>
      </c>
      <c r="B22" s="12">
        <v>25056</v>
      </c>
      <c r="C22" s="12">
        <v>2540</v>
      </c>
      <c r="D22" s="12">
        <v>22516</v>
      </c>
      <c r="E22" s="13">
        <v>9.8645669291338578</v>
      </c>
      <c r="F22" s="71" t="s">
        <v>10</v>
      </c>
      <c r="G22" s="3" t="s">
        <v>17</v>
      </c>
    </row>
    <row r="23" spans="1:7">
      <c r="A23" s="6" t="s">
        <v>15</v>
      </c>
      <c r="B23" s="12">
        <v>590038</v>
      </c>
      <c r="C23" s="12">
        <v>360104</v>
      </c>
      <c r="D23" s="12">
        <v>229934</v>
      </c>
      <c r="E23" s="13">
        <v>1.6385210939062049</v>
      </c>
      <c r="F23" s="71" t="s">
        <v>10</v>
      </c>
      <c r="G23" s="3" t="s">
        <v>17</v>
      </c>
    </row>
    <row r="24" spans="1:7">
      <c r="A24" s="6" t="s">
        <v>16</v>
      </c>
      <c r="B24" s="7">
        <v>652073</v>
      </c>
      <c r="C24" s="7">
        <v>520328</v>
      </c>
      <c r="D24" s="12">
        <v>131745</v>
      </c>
      <c r="E24" s="13">
        <v>1.2531960609461723</v>
      </c>
      <c r="F24" s="71" t="s">
        <v>10</v>
      </c>
      <c r="G24" s="3" t="s">
        <v>17</v>
      </c>
    </row>
  </sheetData>
  <mergeCells count="2">
    <mergeCell ref="F3:G3"/>
    <mergeCell ref="F17:G17"/>
  </mergeCells>
  <phoneticPr fontId="2" type="noConversion"/>
  <conditionalFormatting sqref="G16:G17 G5:G10">
    <cfRule type="containsText" dxfId="11" priority="34" operator="containsText" text="Red">
      <formula>NOT(ISERROR(SEARCH("Red",G5)))</formula>
    </cfRule>
    <cfRule type="containsText" dxfId="10" priority="35" operator="containsText" text="Yellow">
      <formula>NOT(ISERROR(SEARCH("Yellow",G5)))</formula>
    </cfRule>
    <cfRule type="containsText" dxfId="9" priority="36" operator="containsText" text="Green">
      <formula>NOT(ISERROR(SEARCH("Green",G5)))</formula>
    </cfRule>
  </conditionalFormatting>
  <conditionalFormatting sqref="G19 G21:G24">
    <cfRule type="containsText" dxfId="8" priority="4" operator="containsText" text="Red">
      <formula>NOT(ISERROR(SEARCH("Red",G19)))</formula>
    </cfRule>
    <cfRule type="containsText" dxfId="7" priority="5" operator="containsText" text="Yellow">
      <formula>NOT(ISERROR(SEARCH("Yellow",G19)))</formula>
    </cfRule>
    <cfRule type="containsText" dxfId="6" priority="6" operator="containsText" text="Green">
      <formula>NOT(ISERROR(SEARCH("Green",G19)))</formula>
    </cfRule>
  </conditionalFormatting>
  <conditionalFormatting sqref="G20">
    <cfRule type="containsText" dxfId="5" priority="1" operator="containsText" text="Red">
      <formula>NOT(ISERROR(SEARCH("Red",G20)))</formula>
    </cfRule>
    <cfRule type="containsText" dxfId="4" priority="2" operator="containsText" text="Yellow">
      <formula>NOT(ISERROR(SEARCH("Yellow",G20)))</formula>
    </cfRule>
    <cfRule type="containsText" dxfId="3" priority="3" operator="containsText" text="Green">
      <formula>NOT(ISERROR(SEARCH("Green",G20)))</formula>
    </cfRule>
  </conditionalFormatting>
  <pageMargins left="0.25" right="0.25" top="1" bottom="1" header="0.3" footer="0.3"/>
  <pageSetup scale="114"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95DE-9273-45D0-9AC2-B88CFE91FD5E}">
  <dimension ref="A1:G7"/>
  <sheetViews>
    <sheetView tabSelected="1" workbookViewId="0">
      <selection activeCell="C15" sqref="C15"/>
    </sheetView>
  </sheetViews>
  <sheetFormatPr defaultRowHeight="15"/>
  <cols>
    <col min="2" max="3" width="10.7109375" bestFit="1" customWidth="1"/>
    <col min="5" max="5" width="15.28515625" bestFit="1" customWidth="1"/>
    <col min="6" max="6" width="20.7109375" bestFit="1" customWidth="1"/>
  </cols>
  <sheetData>
    <row r="1" spans="1:7">
      <c r="A1" s="4">
        <v>46203</v>
      </c>
      <c r="B1" s="5" t="s">
        <v>3</v>
      </c>
      <c r="C1" s="5" t="s">
        <v>4</v>
      </c>
      <c r="D1" s="5" t="s">
        <v>5</v>
      </c>
      <c r="E1" s="5" t="s">
        <v>6</v>
      </c>
      <c r="F1" s="5" t="s">
        <v>7</v>
      </c>
      <c r="G1" s="5" t="s">
        <v>8</v>
      </c>
    </row>
    <row r="2" spans="1:7">
      <c r="A2" s="6" t="s">
        <v>9</v>
      </c>
      <c r="B2" s="72">
        <v>666419</v>
      </c>
      <c r="C2" s="86">
        <v>281066</v>
      </c>
      <c r="D2" s="72">
        <v>385353</v>
      </c>
      <c r="E2" s="73">
        <v>2.3710409654671856</v>
      </c>
      <c r="F2" s="74" t="s">
        <v>10</v>
      </c>
      <c r="G2" s="3" t="s">
        <v>17</v>
      </c>
    </row>
    <row r="3" spans="1:7">
      <c r="A3" s="6" t="s">
        <v>12</v>
      </c>
      <c r="B3" s="72">
        <v>88446</v>
      </c>
      <c r="C3" s="80">
        <v>64768</v>
      </c>
      <c r="D3" s="72">
        <v>23678</v>
      </c>
      <c r="E3" s="73">
        <v>1.3655817687747036</v>
      </c>
      <c r="F3" s="74" t="s">
        <v>10</v>
      </c>
      <c r="G3" s="3" t="s">
        <v>17</v>
      </c>
    </row>
    <row r="4" spans="1:7">
      <c r="A4" s="6" t="s">
        <v>13</v>
      </c>
      <c r="B4" s="75">
        <v>1444597.58821</v>
      </c>
      <c r="C4" s="75">
        <v>1318744.58821</v>
      </c>
      <c r="D4" s="72">
        <v>125853</v>
      </c>
      <c r="E4" s="73">
        <v>1.0954339461372324</v>
      </c>
      <c r="F4" s="74" t="s">
        <v>10</v>
      </c>
      <c r="G4" s="10" t="s">
        <v>17</v>
      </c>
    </row>
    <row r="5" spans="1:7">
      <c r="A5" s="6" t="s">
        <v>14</v>
      </c>
      <c r="B5" s="72">
        <v>37739</v>
      </c>
      <c r="C5" s="72">
        <v>2527</v>
      </c>
      <c r="D5" s="72">
        <v>35212</v>
      </c>
      <c r="E5" s="73">
        <v>14.934309457855164</v>
      </c>
      <c r="F5" s="74" t="s">
        <v>10</v>
      </c>
      <c r="G5" s="10" t="s">
        <v>17</v>
      </c>
    </row>
    <row r="6" spans="1:7">
      <c r="A6" s="6" t="s">
        <v>15</v>
      </c>
      <c r="B6" s="72">
        <v>490287</v>
      </c>
      <c r="C6" s="72">
        <v>431818</v>
      </c>
      <c r="D6" s="72">
        <v>58469</v>
      </c>
      <c r="E6" s="73">
        <v>1.1354019517481901</v>
      </c>
      <c r="F6" s="74" t="s">
        <v>10</v>
      </c>
      <c r="G6" s="3" t="s">
        <v>17</v>
      </c>
    </row>
    <row r="7" spans="1:7">
      <c r="A7" s="6" t="s">
        <v>16</v>
      </c>
      <c r="B7" s="75">
        <v>596768</v>
      </c>
      <c r="C7" s="75">
        <v>476706</v>
      </c>
      <c r="D7" s="72">
        <v>120062</v>
      </c>
      <c r="E7" s="73">
        <v>1.251857539028248</v>
      </c>
      <c r="F7" s="74" t="s">
        <v>10</v>
      </c>
      <c r="G7" s="3" t="s">
        <v>17</v>
      </c>
    </row>
  </sheetData>
  <conditionalFormatting sqref="G2:G7">
    <cfRule type="containsText" dxfId="2" priority="1" operator="containsText" text="Red">
      <formula>NOT(ISERROR(SEARCH("Red",G2)))</formula>
    </cfRule>
    <cfRule type="containsText" dxfId="1" priority="2" operator="containsText" text="Yellow">
      <formula>NOT(ISERROR(SEARCH("Yellow",G2)))</formula>
    </cfRule>
    <cfRule type="containsText" dxfId="0" priority="3" operator="containsText" text="Green">
      <formula>NOT(ISERROR(SEARCH("Green",G2)))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workbookViewId="0"/>
  </sheetViews>
  <sheetFormatPr defaultRowHeight="15"/>
  <sheetData/>
  <pageMargins left="0.75" right="0.75" top="1" bottom="1"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39997558519241921"/>
  </sheetPr>
  <dimension ref="A1:AC158"/>
  <sheetViews>
    <sheetView zoomScale="23" zoomScaleNormal="10" workbookViewId="0">
      <selection activeCell="N15" sqref="N15"/>
    </sheetView>
  </sheetViews>
  <sheetFormatPr defaultRowHeight="14.25" outlineLevelCol="1"/>
  <cols>
    <col min="1" max="1" width="4" style="14" customWidth="1"/>
    <col min="2" max="2" width="6" style="90" customWidth="1"/>
    <col min="3" max="3" width="6.28515625" style="90" customWidth="1"/>
    <col min="4" max="4" width="5.5703125" style="90" customWidth="1"/>
    <col min="5" max="5" width="6" style="90" customWidth="1"/>
    <col min="6" max="6" width="2.7109375" style="90" customWidth="1"/>
    <col min="7" max="7" width="74" style="90" customWidth="1"/>
    <col min="8" max="8" width="111.5703125" style="90" customWidth="1"/>
    <col min="9" max="9" width="104" style="218" hidden="1" customWidth="1" outlineLevel="1"/>
    <col min="10" max="10" width="35.28515625" style="90" bestFit="1" customWidth="1" collapsed="1"/>
    <col min="11" max="11" width="27.5703125" style="90" customWidth="1"/>
    <col min="12" max="12" width="31.85546875" style="90" customWidth="1"/>
    <col min="13" max="17" width="27.5703125" style="90" customWidth="1"/>
    <col min="18" max="18" width="34.42578125" style="90" bestFit="1" customWidth="1"/>
    <col min="19" max="21" width="27.5703125" style="90" customWidth="1"/>
    <col min="22" max="22" width="30.42578125" style="90" customWidth="1"/>
    <col min="23" max="26" width="27.5703125" style="90" customWidth="1"/>
    <col min="27" max="28" width="45.28515625" style="14" customWidth="1"/>
    <col min="29" max="29" width="83.140625" style="14" customWidth="1"/>
    <col min="30" max="16384" width="9.140625" style="14"/>
  </cols>
  <sheetData>
    <row r="1" spans="1:29" ht="15" thickBot="1"/>
    <row r="2" spans="1:29" s="16" customFormat="1" ht="36" thickTop="1" thickBot="1">
      <c r="A2" s="15" t="s">
        <v>18</v>
      </c>
      <c r="B2" s="91" t="s">
        <v>19</v>
      </c>
      <c r="C2" s="91" t="s">
        <v>20</v>
      </c>
      <c r="D2" s="91" t="s">
        <v>21</v>
      </c>
      <c r="E2" s="91" t="s">
        <v>22</v>
      </c>
      <c r="F2" s="91" t="s">
        <v>23</v>
      </c>
      <c r="G2" s="91" t="s">
        <v>24</v>
      </c>
      <c r="H2" s="91"/>
      <c r="I2" s="219"/>
      <c r="J2" s="91" t="s">
        <v>25</v>
      </c>
      <c r="K2" s="91" t="s">
        <v>26</v>
      </c>
      <c r="L2" s="91" t="s">
        <v>27</v>
      </c>
      <c r="M2" s="91" t="s">
        <v>28</v>
      </c>
      <c r="N2" s="91" t="s">
        <v>29</v>
      </c>
      <c r="O2" s="91" t="s">
        <v>30</v>
      </c>
      <c r="P2" s="91" t="s">
        <v>31</v>
      </c>
      <c r="Q2" s="91"/>
      <c r="R2" s="91"/>
      <c r="S2" s="91"/>
      <c r="T2" s="91"/>
      <c r="U2" s="91"/>
      <c r="V2" s="91"/>
      <c r="W2" s="91"/>
      <c r="X2" s="91"/>
      <c r="Y2" s="91"/>
      <c r="Z2" s="91"/>
      <c r="AA2" s="15" t="s">
        <v>32</v>
      </c>
      <c r="AB2" s="15" t="s">
        <v>33</v>
      </c>
      <c r="AC2" s="15" t="s">
        <v>34</v>
      </c>
    </row>
    <row r="3" spans="1:29" ht="41.25" customHeight="1" thickTop="1"/>
    <row r="4" spans="1:29" ht="60">
      <c r="B4" s="1217" t="s">
        <v>35</v>
      </c>
      <c r="C4" s="1217"/>
      <c r="D4" s="1217"/>
      <c r="E4" s="1217"/>
      <c r="F4" s="1217"/>
      <c r="G4" s="1217"/>
      <c r="H4" s="1217"/>
      <c r="I4" s="1217"/>
      <c r="J4" s="1217"/>
      <c r="K4" s="1217"/>
      <c r="L4" s="1217"/>
      <c r="M4" s="1217"/>
      <c r="N4" s="1217"/>
      <c r="O4" s="1217"/>
      <c r="P4" s="1217"/>
      <c r="Q4" s="92"/>
      <c r="R4" s="92"/>
      <c r="S4" s="92"/>
      <c r="T4" s="92"/>
      <c r="U4" s="92"/>
      <c r="V4" s="92"/>
      <c r="W4" s="92"/>
      <c r="X4" s="92"/>
      <c r="Y4" s="92"/>
      <c r="Z4" s="92"/>
      <c r="AA4" s="90"/>
      <c r="AB4" s="90"/>
      <c r="AC4" s="90"/>
    </row>
    <row r="5" spans="1:29" ht="60">
      <c r="B5" s="1218" t="s">
        <v>36</v>
      </c>
      <c r="C5" s="1219"/>
      <c r="D5" s="1219"/>
      <c r="E5" s="1219"/>
      <c r="F5" s="1219"/>
      <c r="G5" s="1219"/>
      <c r="H5" s="1219"/>
      <c r="I5" s="1219"/>
      <c r="J5" s="1219" t="s">
        <v>37</v>
      </c>
      <c r="K5" s="1219"/>
      <c r="L5" s="1219"/>
      <c r="M5" s="1219"/>
      <c r="N5" s="1219"/>
      <c r="O5" s="1219"/>
      <c r="P5" s="1219"/>
      <c r="Q5" s="93"/>
      <c r="R5" s="93"/>
      <c r="S5" s="93"/>
      <c r="T5" s="93"/>
      <c r="U5" s="93"/>
      <c r="V5" s="93"/>
      <c r="W5" s="93"/>
      <c r="X5" s="93"/>
      <c r="Y5" s="93"/>
      <c r="Z5" s="92"/>
      <c r="AA5" s="90"/>
      <c r="AB5" s="90"/>
      <c r="AC5" s="90"/>
    </row>
    <row r="6" spans="1:29" ht="45">
      <c r="B6" s="1192" t="s">
        <v>38</v>
      </c>
      <c r="C6" s="94"/>
      <c r="D6" s="94"/>
      <c r="E6" s="94"/>
      <c r="F6" s="94"/>
      <c r="G6" s="94"/>
      <c r="H6" s="94"/>
      <c r="I6" s="94"/>
      <c r="J6" s="1160">
        <f>SUM(K31:M31)+SUM(K67:M67)</f>
        <v>666419</v>
      </c>
      <c r="K6" s="1161"/>
      <c r="L6" s="1162">
        <f>J6-J7</f>
        <v>385353</v>
      </c>
      <c r="M6" s="94"/>
      <c r="N6" s="94"/>
      <c r="O6" s="94"/>
      <c r="P6" s="94"/>
      <c r="Q6" s="94"/>
      <c r="R6" s="94"/>
      <c r="S6" s="94"/>
      <c r="T6" s="94"/>
      <c r="U6" s="94"/>
      <c r="V6" s="94"/>
      <c r="W6" s="94"/>
      <c r="X6" s="94"/>
      <c r="Y6" s="94"/>
      <c r="Z6" s="94"/>
      <c r="AA6" s="90"/>
      <c r="AB6" s="90"/>
      <c r="AC6" s="90"/>
    </row>
    <row r="7" spans="1:29" ht="44.25">
      <c r="B7" s="95"/>
      <c r="C7" s="95"/>
      <c r="D7" s="95"/>
      <c r="E7" s="95"/>
      <c r="F7" s="95"/>
      <c r="G7" s="95"/>
      <c r="H7" s="95"/>
      <c r="I7" s="535"/>
      <c r="J7" s="1163">
        <f>+SUM(K54:M54)+SUM(K78:M78)</f>
        <v>281066</v>
      </c>
      <c r="K7" s="1164"/>
      <c r="L7" s="1164"/>
      <c r="M7" s="95"/>
      <c r="N7" s="95"/>
      <c r="O7" s="95"/>
      <c r="P7" s="95"/>
      <c r="Q7" s="95"/>
      <c r="R7" s="95"/>
      <c r="S7" s="95"/>
      <c r="T7" s="95"/>
      <c r="U7" s="95"/>
      <c r="V7" s="95"/>
      <c r="W7" s="95"/>
      <c r="X7" s="95"/>
      <c r="Y7" s="95"/>
      <c r="Z7" s="95"/>
      <c r="AA7" s="90"/>
      <c r="AB7" s="90"/>
      <c r="AC7" s="90"/>
    </row>
    <row r="8" spans="1:29" ht="30.75" customHeight="1" thickBot="1">
      <c r="B8" s="96"/>
      <c r="C8" s="96"/>
      <c r="D8" s="96"/>
      <c r="E8" s="96"/>
      <c r="F8" s="96"/>
      <c r="G8" s="96"/>
      <c r="H8" s="96"/>
      <c r="I8" s="536"/>
      <c r="J8" s="96"/>
      <c r="K8" s="96"/>
      <c r="L8" s="96"/>
      <c r="M8" s="96"/>
      <c r="N8" s="1220" t="s">
        <v>39</v>
      </c>
      <c r="O8" s="1220"/>
      <c r="P8" s="1220"/>
      <c r="Q8" s="735"/>
      <c r="R8" s="735"/>
      <c r="S8" s="735"/>
      <c r="T8" s="735"/>
      <c r="U8" s="735"/>
      <c r="V8" s="735"/>
      <c r="W8" s="735"/>
      <c r="X8" s="735"/>
      <c r="Y8" s="735"/>
      <c r="Z8" s="735"/>
      <c r="AA8" s="90"/>
      <c r="AB8" s="90"/>
      <c r="AC8" s="90"/>
    </row>
    <row r="9" spans="1:29" ht="36" customHeight="1" thickBot="1">
      <c r="B9" s="1198" t="s">
        <v>40</v>
      </c>
      <c r="C9" s="1199"/>
      <c r="D9" s="1199"/>
      <c r="E9" s="1199"/>
      <c r="F9" s="1199"/>
      <c r="G9" s="1199"/>
      <c r="H9" s="104"/>
      <c r="I9" s="572"/>
      <c r="J9" s="1210" t="s">
        <v>41</v>
      </c>
      <c r="K9" s="105"/>
      <c r="L9" s="106"/>
      <c r="M9" s="106"/>
      <c r="N9" s="697" t="s">
        <v>42</v>
      </c>
      <c r="O9" s="697"/>
      <c r="P9" s="697"/>
      <c r="Q9" s="698"/>
      <c r="R9" s="698"/>
      <c r="S9" s="698"/>
      <c r="T9" s="698"/>
      <c r="U9" s="698"/>
      <c r="V9" s="698"/>
      <c r="W9" s="698"/>
      <c r="X9" s="698"/>
      <c r="Y9" s="698"/>
      <c r="Z9" s="699"/>
      <c r="AA9" s="1198" t="s">
        <v>43</v>
      </c>
      <c r="AB9" s="1199"/>
      <c r="AC9" s="1198" t="s">
        <v>44</v>
      </c>
    </row>
    <row r="10" spans="1:29" ht="89.25" customHeight="1">
      <c r="B10" s="1200"/>
      <c r="C10" s="1201"/>
      <c r="D10" s="1201"/>
      <c r="E10" s="1201"/>
      <c r="F10" s="1201"/>
      <c r="G10" s="1201"/>
      <c r="H10" s="107" t="s">
        <v>45</v>
      </c>
      <c r="I10" s="573" t="s">
        <v>46</v>
      </c>
      <c r="J10" s="1211"/>
      <c r="K10" s="1204" t="s">
        <v>47</v>
      </c>
      <c r="L10" s="1204" t="s">
        <v>48</v>
      </c>
      <c r="M10" s="1204" t="s">
        <v>49</v>
      </c>
      <c r="N10" s="1204" t="s">
        <v>50</v>
      </c>
      <c r="O10" s="1204" t="s">
        <v>51</v>
      </c>
      <c r="P10" s="1204" t="s">
        <v>52</v>
      </c>
      <c r="Q10" s="1206" t="s">
        <v>53</v>
      </c>
      <c r="R10" s="1206" t="s">
        <v>54</v>
      </c>
      <c r="S10" s="1206" t="s">
        <v>55</v>
      </c>
      <c r="T10" s="1206" t="s">
        <v>56</v>
      </c>
      <c r="U10" s="1206" t="s">
        <v>57</v>
      </c>
      <c r="V10" s="1206" t="s">
        <v>58</v>
      </c>
      <c r="W10" s="1206" t="s">
        <v>59</v>
      </c>
      <c r="X10" s="1206" t="s">
        <v>60</v>
      </c>
      <c r="Y10" s="1206" t="s">
        <v>61</v>
      </c>
      <c r="Z10" s="1208" t="s">
        <v>62</v>
      </c>
      <c r="AA10" s="1200"/>
      <c r="AB10" s="1201"/>
      <c r="AC10" s="1200"/>
    </row>
    <row r="11" spans="1:29" ht="89.25" customHeight="1" thickBot="1">
      <c r="B11" s="1202"/>
      <c r="C11" s="1203"/>
      <c r="D11" s="1203"/>
      <c r="E11" s="1203"/>
      <c r="F11" s="1203"/>
      <c r="G11" s="1203"/>
      <c r="H11" s="108"/>
      <c r="I11" s="574"/>
      <c r="J11" s="1212"/>
      <c r="K11" s="1205"/>
      <c r="L11" s="1205"/>
      <c r="M11" s="1205"/>
      <c r="N11" s="1205"/>
      <c r="O11" s="1205"/>
      <c r="P11" s="1205"/>
      <c r="Q11" s="1207"/>
      <c r="R11" s="1207"/>
      <c r="S11" s="1207"/>
      <c r="T11" s="1207"/>
      <c r="U11" s="1207"/>
      <c r="V11" s="1207"/>
      <c r="W11" s="1207"/>
      <c r="X11" s="1207"/>
      <c r="Y11" s="1207"/>
      <c r="Z11" s="1209"/>
      <c r="AA11" s="1202"/>
      <c r="AB11" s="1203"/>
      <c r="AC11" s="1202"/>
    </row>
    <row r="12" spans="1:29" ht="39" customHeight="1">
      <c r="B12" s="183" t="s">
        <v>63</v>
      </c>
      <c r="C12" s="1221" t="s">
        <v>64</v>
      </c>
      <c r="D12" s="1221"/>
      <c r="E12" s="1221"/>
      <c r="F12" s="1221"/>
      <c r="G12" s="1221"/>
      <c r="H12" s="109"/>
      <c r="I12" s="575"/>
      <c r="J12" s="110"/>
      <c r="K12" s="111"/>
      <c r="L12" s="111"/>
      <c r="M12" s="111"/>
      <c r="N12" s="95"/>
      <c r="O12" s="112"/>
      <c r="P12" s="95"/>
      <c r="Q12" s="113"/>
      <c r="R12" s="113"/>
      <c r="S12" s="113"/>
      <c r="T12" s="113"/>
      <c r="U12" s="113"/>
      <c r="V12" s="113"/>
      <c r="W12" s="113"/>
      <c r="X12" s="113"/>
      <c r="Y12" s="113"/>
      <c r="Z12" s="208"/>
      <c r="AA12" s="113"/>
      <c r="AB12" s="113"/>
      <c r="AC12" s="113"/>
    </row>
    <row r="13" spans="1:29" ht="39" customHeight="1">
      <c r="B13" s="184" t="s">
        <v>65</v>
      </c>
      <c r="C13" s="114" t="s">
        <v>3</v>
      </c>
      <c r="D13" s="114"/>
      <c r="E13" s="114"/>
      <c r="F13" s="114"/>
      <c r="G13" s="115"/>
      <c r="H13" s="116"/>
      <c r="I13" s="576"/>
      <c r="J13" s="110"/>
      <c r="K13" s="116"/>
      <c r="L13" s="116"/>
      <c r="M13" s="116"/>
      <c r="N13" s="115"/>
      <c r="O13" s="116"/>
      <c r="P13" s="115"/>
      <c r="Q13" s="116"/>
      <c r="R13" s="116"/>
      <c r="S13" s="116"/>
      <c r="T13" s="116"/>
      <c r="U13" s="116"/>
      <c r="V13" s="116"/>
      <c r="W13" s="116"/>
      <c r="X13" s="116"/>
      <c r="Y13" s="116"/>
      <c r="Z13" s="209"/>
      <c r="AA13" s="116"/>
      <c r="AB13" s="116"/>
      <c r="AC13" s="116"/>
    </row>
    <row r="14" spans="1:29" s="18" customFormat="1" ht="54">
      <c r="A14" s="17"/>
      <c r="B14" s="185"/>
      <c r="C14" s="186" t="s">
        <v>66</v>
      </c>
      <c r="D14" s="117" t="s">
        <v>67</v>
      </c>
      <c r="E14" s="117"/>
      <c r="F14" s="117"/>
      <c r="G14" s="117"/>
      <c r="H14" s="118" t="s">
        <v>68</v>
      </c>
      <c r="I14" s="577" t="s">
        <v>69</v>
      </c>
      <c r="J14" s="119">
        <v>313</v>
      </c>
      <c r="K14" s="700">
        <v>312.99942567630188</v>
      </c>
      <c r="L14" s="120">
        <v>0</v>
      </c>
      <c r="M14" s="120">
        <v>0</v>
      </c>
      <c r="N14" s="121">
        <v>0</v>
      </c>
      <c r="O14" s="120">
        <v>0</v>
      </c>
      <c r="P14" s="121">
        <v>0</v>
      </c>
      <c r="Q14" s="120">
        <v>0</v>
      </c>
      <c r="R14" s="120">
        <v>0</v>
      </c>
      <c r="S14" s="120">
        <v>0</v>
      </c>
      <c r="T14" s="120">
        <v>0</v>
      </c>
      <c r="U14" s="120">
        <v>0</v>
      </c>
      <c r="V14" s="120">
        <v>0</v>
      </c>
      <c r="W14" s="120">
        <v>0</v>
      </c>
      <c r="X14" s="120">
        <v>0</v>
      </c>
      <c r="Y14" s="120">
        <v>0</v>
      </c>
      <c r="Z14" s="210"/>
      <c r="AA14" s="187" t="s">
        <v>70</v>
      </c>
      <c r="AB14" s="537" t="s">
        <v>71</v>
      </c>
      <c r="AC14" s="135" t="s">
        <v>72</v>
      </c>
    </row>
    <row r="15" spans="1:29" s="18" customFormat="1" ht="54">
      <c r="A15" s="17"/>
      <c r="B15" s="185"/>
      <c r="C15" s="186" t="s">
        <v>73</v>
      </c>
      <c r="D15" s="117" t="s">
        <v>74</v>
      </c>
      <c r="E15" s="117"/>
      <c r="F15" s="117"/>
      <c r="G15" s="117"/>
      <c r="H15" s="118" t="s">
        <v>75</v>
      </c>
      <c r="I15" s="578" t="s">
        <v>76</v>
      </c>
      <c r="J15" s="119">
        <v>0</v>
      </c>
      <c r="K15" s="120">
        <v>0</v>
      </c>
      <c r="L15" s="120">
        <v>0</v>
      </c>
      <c r="M15" s="120">
        <v>0</v>
      </c>
      <c r="N15" s="121">
        <v>0</v>
      </c>
      <c r="O15" s="120">
        <v>0</v>
      </c>
      <c r="P15" s="121">
        <v>0</v>
      </c>
      <c r="Q15" s="120">
        <v>0</v>
      </c>
      <c r="R15" s="120">
        <v>0</v>
      </c>
      <c r="S15" s="120">
        <v>0</v>
      </c>
      <c r="T15" s="120">
        <v>0</v>
      </c>
      <c r="U15" s="120">
        <v>0</v>
      </c>
      <c r="V15" s="120">
        <v>0</v>
      </c>
      <c r="W15" s="120">
        <v>0</v>
      </c>
      <c r="X15" s="120">
        <v>0</v>
      </c>
      <c r="Y15" s="120">
        <v>0</v>
      </c>
      <c r="Z15" s="210"/>
      <c r="AA15" s="187" t="s">
        <v>70</v>
      </c>
      <c r="AB15" s="537" t="s">
        <v>71</v>
      </c>
      <c r="AC15" s="135" t="s">
        <v>72</v>
      </c>
    </row>
    <row r="16" spans="1:29" s="18" customFormat="1" ht="155.25" customHeight="1">
      <c r="A16" s="17"/>
      <c r="B16" s="185"/>
      <c r="C16" s="186" t="s">
        <v>77</v>
      </c>
      <c r="D16" s="117" t="s">
        <v>78</v>
      </c>
      <c r="E16" s="117"/>
      <c r="F16" s="117"/>
      <c r="G16" s="117"/>
      <c r="H16" s="118" t="s">
        <v>79</v>
      </c>
      <c r="I16" s="579" t="s">
        <v>80</v>
      </c>
      <c r="J16" s="119">
        <v>190127</v>
      </c>
      <c r="K16" s="120">
        <v>190126.52092941434</v>
      </c>
      <c r="L16" s="120">
        <v>0</v>
      </c>
      <c r="M16" s="120">
        <v>0</v>
      </c>
      <c r="N16" s="121">
        <v>0</v>
      </c>
      <c r="O16" s="120">
        <v>0</v>
      </c>
      <c r="P16" s="121">
        <v>0</v>
      </c>
      <c r="Q16" s="120">
        <v>0</v>
      </c>
      <c r="R16" s="120">
        <v>0</v>
      </c>
      <c r="S16" s="120">
        <v>0</v>
      </c>
      <c r="T16" s="120">
        <v>0</v>
      </c>
      <c r="U16" s="120">
        <v>0</v>
      </c>
      <c r="V16" s="120">
        <v>0</v>
      </c>
      <c r="W16" s="120">
        <v>0</v>
      </c>
      <c r="X16" s="120">
        <v>0</v>
      </c>
      <c r="Y16" s="120">
        <v>0</v>
      </c>
      <c r="Z16" s="210"/>
      <c r="AA16" s="187" t="s">
        <v>70</v>
      </c>
      <c r="AB16" s="537" t="s">
        <v>71</v>
      </c>
      <c r="AC16" s="135" t="s">
        <v>72</v>
      </c>
    </row>
    <row r="17" spans="1:29" s="18" customFormat="1" ht="39" customHeight="1">
      <c r="A17" s="17"/>
      <c r="B17" s="185"/>
      <c r="C17" s="186" t="s">
        <v>81</v>
      </c>
      <c r="D17" s="117" t="s">
        <v>82</v>
      </c>
      <c r="E17" s="117"/>
      <c r="F17" s="117"/>
      <c r="G17" s="117"/>
      <c r="H17" s="118" t="s">
        <v>83</v>
      </c>
      <c r="I17" s="580" t="s">
        <v>83</v>
      </c>
      <c r="J17" s="119"/>
      <c r="K17" s="120"/>
      <c r="L17" s="120"/>
      <c r="M17" s="120"/>
      <c r="N17" s="121"/>
      <c r="O17" s="120"/>
      <c r="P17" s="121"/>
      <c r="Q17" s="120"/>
      <c r="R17" s="120"/>
      <c r="S17" s="120"/>
      <c r="T17" s="120"/>
      <c r="U17" s="120"/>
      <c r="V17" s="120"/>
      <c r="W17" s="120"/>
      <c r="X17" s="120"/>
      <c r="Y17" s="120"/>
      <c r="Z17" s="210"/>
      <c r="AA17" s="135"/>
      <c r="AB17" s="135"/>
      <c r="AC17" s="135"/>
    </row>
    <row r="18" spans="1:29" s="18" customFormat="1" ht="30">
      <c r="B18" s="187"/>
      <c r="C18" s="188"/>
      <c r="D18" s="122" t="s">
        <v>84</v>
      </c>
      <c r="E18" s="122" t="s">
        <v>85</v>
      </c>
      <c r="F18" s="122"/>
      <c r="G18" s="122"/>
      <c r="H18" s="123" t="s">
        <v>86</v>
      </c>
      <c r="I18" s="577"/>
      <c r="J18" s="119"/>
      <c r="K18" s="120"/>
      <c r="L18" s="120"/>
      <c r="M18" s="120"/>
      <c r="N18" s="121"/>
      <c r="O18" s="120"/>
      <c r="P18" s="121"/>
      <c r="Q18" s="120"/>
      <c r="R18" s="120"/>
      <c r="S18" s="120"/>
      <c r="T18" s="120"/>
      <c r="U18" s="120"/>
      <c r="V18" s="120"/>
      <c r="W18" s="120"/>
      <c r="X18" s="120"/>
      <c r="Y18" s="120"/>
      <c r="Z18" s="210"/>
      <c r="AA18" s="135"/>
      <c r="AB18" s="135"/>
      <c r="AC18" s="135"/>
    </row>
    <row r="19" spans="1:29" s="18" customFormat="1" ht="54">
      <c r="B19" s="187"/>
      <c r="C19" s="188"/>
      <c r="D19" s="122"/>
      <c r="E19" s="122" t="s">
        <v>87</v>
      </c>
      <c r="F19" s="122" t="s">
        <v>88</v>
      </c>
      <c r="G19" s="122"/>
      <c r="H19" s="124" t="s">
        <v>89</v>
      </c>
      <c r="I19" s="578"/>
      <c r="J19" s="119">
        <v>0</v>
      </c>
      <c r="K19" s="120">
        <v>0</v>
      </c>
      <c r="L19" s="120">
        <v>0</v>
      </c>
      <c r="M19" s="120">
        <v>0</v>
      </c>
      <c r="N19" s="121">
        <v>0</v>
      </c>
      <c r="O19" s="120">
        <v>0</v>
      </c>
      <c r="P19" s="121">
        <v>0</v>
      </c>
      <c r="Q19" s="120">
        <v>0</v>
      </c>
      <c r="R19" s="120">
        <v>0</v>
      </c>
      <c r="S19" s="120">
        <v>0</v>
      </c>
      <c r="T19" s="120">
        <v>0</v>
      </c>
      <c r="U19" s="120">
        <v>0</v>
      </c>
      <c r="V19" s="120">
        <v>0</v>
      </c>
      <c r="W19" s="120">
        <v>0</v>
      </c>
      <c r="X19" s="120">
        <v>0</v>
      </c>
      <c r="Y19" s="120">
        <v>0</v>
      </c>
      <c r="Z19" s="210"/>
      <c r="AA19" s="187" t="s">
        <v>70</v>
      </c>
      <c r="AB19" s="537" t="s">
        <v>71</v>
      </c>
      <c r="AC19" s="135" t="s">
        <v>72</v>
      </c>
    </row>
    <row r="20" spans="1:29" s="18" customFormat="1" ht="54">
      <c r="B20" s="187"/>
      <c r="C20" s="188"/>
      <c r="D20" s="122"/>
      <c r="E20" s="122" t="s">
        <v>90</v>
      </c>
      <c r="F20" s="122" t="s">
        <v>91</v>
      </c>
      <c r="G20" s="122"/>
      <c r="H20" s="124" t="s">
        <v>92</v>
      </c>
      <c r="I20" s="578"/>
      <c r="J20" s="119">
        <v>0</v>
      </c>
      <c r="K20" s="120">
        <v>0</v>
      </c>
      <c r="L20" s="120">
        <v>0</v>
      </c>
      <c r="M20" s="120">
        <v>0</v>
      </c>
      <c r="N20" s="121">
        <v>0</v>
      </c>
      <c r="O20" s="120">
        <v>0</v>
      </c>
      <c r="P20" s="121">
        <v>0</v>
      </c>
      <c r="Q20" s="120">
        <v>0</v>
      </c>
      <c r="R20" s="120">
        <v>0</v>
      </c>
      <c r="S20" s="120">
        <v>0</v>
      </c>
      <c r="T20" s="120">
        <v>0</v>
      </c>
      <c r="U20" s="120">
        <v>0</v>
      </c>
      <c r="V20" s="120">
        <v>0</v>
      </c>
      <c r="W20" s="120">
        <v>0</v>
      </c>
      <c r="X20" s="120">
        <v>0</v>
      </c>
      <c r="Y20" s="120">
        <v>0</v>
      </c>
      <c r="Z20" s="210"/>
      <c r="AA20" s="187" t="s">
        <v>70</v>
      </c>
      <c r="AB20" s="537" t="s">
        <v>71</v>
      </c>
      <c r="AC20" s="135" t="s">
        <v>72</v>
      </c>
    </row>
    <row r="21" spans="1:29" s="18" customFormat="1" ht="54">
      <c r="B21" s="187"/>
      <c r="C21" s="188"/>
      <c r="D21" s="122"/>
      <c r="E21" s="122" t="s">
        <v>93</v>
      </c>
      <c r="F21" s="122" t="s">
        <v>94</v>
      </c>
      <c r="G21" s="122"/>
      <c r="H21" s="124" t="s">
        <v>95</v>
      </c>
      <c r="I21" s="578" t="s">
        <v>96</v>
      </c>
      <c r="J21" s="119">
        <v>0</v>
      </c>
      <c r="K21" s="120">
        <v>0</v>
      </c>
      <c r="L21" s="120">
        <v>0</v>
      </c>
      <c r="M21" s="120">
        <v>0</v>
      </c>
      <c r="N21" s="121">
        <v>0</v>
      </c>
      <c r="O21" s="120">
        <v>0</v>
      </c>
      <c r="P21" s="121">
        <v>0</v>
      </c>
      <c r="Q21" s="120"/>
      <c r="R21" s="120"/>
      <c r="S21" s="120"/>
      <c r="T21" s="120"/>
      <c r="U21" s="120"/>
      <c r="V21" s="120"/>
      <c r="W21" s="120"/>
      <c r="X21" s="120"/>
      <c r="Y21" s="120"/>
      <c r="Z21" s="210"/>
      <c r="AA21" s="187" t="s">
        <v>70</v>
      </c>
      <c r="AB21" s="537" t="s">
        <v>71</v>
      </c>
      <c r="AC21" s="135" t="s">
        <v>72</v>
      </c>
    </row>
    <row r="22" spans="1:29" s="18" customFormat="1" ht="54">
      <c r="B22" s="187"/>
      <c r="C22" s="188"/>
      <c r="D22" s="122"/>
      <c r="E22" s="122" t="s">
        <v>97</v>
      </c>
      <c r="F22" s="122" t="s">
        <v>98</v>
      </c>
      <c r="G22" s="122"/>
      <c r="H22" s="124" t="s">
        <v>99</v>
      </c>
      <c r="I22" s="578" t="s">
        <v>96</v>
      </c>
      <c r="J22" s="119">
        <v>0</v>
      </c>
      <c r="K22" s="120">
        <v>0</v>
      </c>
      <c r="L22" s="120">
        <v>0</v>
      </c>
      <c r="M22" s="120">
        <v>0</v>
      </c>
      <c r="N22" s="121">
        <v>0</v>
      </c>
      <c r="O22" s="120">
        <v>0</v>
      </c>
      <c r="P22" s="121">
        <v>0</v>
      </c>
      <c r="Q22" s="120"/>
      <c r="R22" s="120"/>
      <c r="S22" s="120"/>
      <c r="T22" s="120"/>
      <c r="U22" s="120"/>
      <c r="V22" s="120"/>
      <c r="W22" s="120"/>
      <c r="X22" s="120"/>
      <c r="Y22" s="120"/>
      <c r="Z22" s="210"/>
      <c r="AA22" s="187" t="s">
        <v>70</v>
      </c>
      <c r="AB22" s="537" t="s">
        <v>71</v>
      </c>
      <c r="AC22" s="135" t="s">
        <v>72</v>
      </c>
    </row>
    <row r="23" spans="1:29" s="18" customFormat="1" ht="90">
      <c r="B23" s="187"/>
      <c r="C23" s="188"/>
      <c r="D23" s="122" t="s">
        <v>100</v>
      </c>
      <c r="E23" s="122" t="s">
        <v>101</v>
      </c>
      <c r="F23" s="122"/>
      <c r="G23" s="122"/>
      <c r="H23" s="123" t="s">
        <v>102</v>
      </c>
      <c r="I23" s="579" t="s">
        <v>103</v>
      </c>
      <c r="J23" s="119">
        <v>143063</v>
      </c>
      <c r="K23" s="120">
        <v>0</v>
      </c>
      <c r="L23" s="120">
        <v>0</v>
      </c>
      <c r="M23" s="120">
        <v>0</v>
      </c>
      <c r="N23" s="121">
        <v>0</v>
      </c>
      <c r="O23" s="120">
        <v>0</v>
      </c>
      <c r="P23" s="121">
        <v>42564.53603000001</v>
      </c>
      <c r="Q23" s="120">
        <v>26913.556469999992</v>
      </c>
      <c r="R23" s="120">
        <v>6504.2805900000003</v>
      </c>
      <c r="S23" s="120">
        <v>2837.8657199999998</v>
      </c>
      <c r="T23" s="120">
        <v>29410.865710000002</v>
      </c>
      <c r="U23" s="120">
        <v>34832.326959999991</v>
      </c>
      <c r="V23" s="120">
        <v>0</v>
      </c>
      <c r="W23" s="120">
        <v>0</v>
      </c>
      <c r="X23" s="120">
        <v>0</v>
      </c>
      <c r="Y23" s="120">
        <v>0</v>
      </c>
      <c r="Z23" s="210"/>
      <c r="AA23" s="187" t="s">
        <v>70</v>
      </c>
      <c r="AB23" s="537" t="s">
        <v>71</v>
      </c>
      <c r="AC23" s="538" t="s">
        <v>104</v>
      </c>
    </row>
    <row r="24" spans="1:29" s="18" customFormat="1" ht="30">
      <c r="B24" s="185"/>
      <c r="C24" s="186" t="s">
        <v>105</v>
      </c>
      <c r="D24" s="117" t="s">
        <v>106</v>
      </c>
      <c r="E24" s="117"/>
      <c r="F24" s="117"/>
      <c r="G24" s="117"/>
      <c r="H24" s="118" t="s">
        <v>107</v>
      </c>
      <c r="I24" s="580" t="s">
        <v>107</v>
      </c>
      <c r="J24" s="119"/>
      <c r="K24" s="120"/>
      <c r="L24" s="120"/>
      <c r="M24" s="120"/>
      <c r="N24" s="121"/>
      <c r="O24" s="120"/>
      <c r="P24" s="121"/>
      <c r="Q24" s="120"/>
      <c r="R24" s="120"/>
      <c r="S24" s="120"/>
      <c r="T24" s="120"/>
      <c r="U24" s="120"/>
      <c r="V24" s="120">
        <v>0</v>
      </c>
      <c r="W24" s="120"/>
      <c r="X24" s="120"/>
      <c r="Y24" s="120"/>
      <c r="Z24" s="210"/>
      <c r="AA24" s="135"/>
      <c r="AB24" s="135"/>
      <c r="AC24" s="135"/>
    </row>
    <row r="25" spans="1:29" s="18" customFormat="1" ht="152.25" customHeight="1">
      <c r="B25" s="187"/>
      <c r="C25" s="188"/>
      <c r="D25" s="122" t="s">
        <v>84</v>
      </c>
      <c r="E25" s="125" t="s">
        <v>108</v>
      </c>
      <c r="F25" s="125"/>
      <c r="G25" s="125"/>
      <c r="H25" s="123" t="s">
        <v>109</v>
      </c>
      <c r="I25" s="581" t="s">
        <v>110</v>
      </c>
      <c r="J25" s="582">
        <v>1007623</v>
      </c>
      <c r="K25" s="120">
        <v>15938.59086767139</v>
      </c>
      <c r="L25" s="120">
        <v>7532.7609499999999</v>
      </c>
      <c r="M25" s="120">
        <v>12508.291430000001</v>
      </c>
      <c r="N25" s="121">
        <v>7433.6434385073781</v>
      </c>
      <c r="O25" s="120">
        <v>33930.359039999996</v>
      </c>
      <c r="P25" s="121">
        <v>25100</v>
      </c>
      <c r="Q25" s="120">
        <v>0</v>
      </c>
      <c r="R25" s="120">
        <v>353427.20791030442</v>
      </c>
      <c r="S25" s="120">
        <v>370071.66635999997</v>
      </c>
      <c r="T25" s="120">
        <v>105972.16278</v>
      </c>
      <c r="U25" s="120">
        <v>9250</v>
      </c>
      <c r="V25" s="120">
        <v>66457.995259999996</v>
      </c>
      <c r="W25" s="120">
        <v>0</v>
      </c>
      <c r="X25" s="120">
        <v>0</v>
      </c>
      <c r="Y25" s="120">
        <v>0</v>
      </c>
      <c r="Z25" s="210"/>
      <c r="AA25" s="187" t="s">
        <v>70</v>
      </c>
      <c r="AB25" s="537" t="s">
        <v>71</v>
      </c>
      <c r="AC25" s="539" t="s">
        <v>111</v>
      </c>
    </row>
    <row r="26" spans="1:29" s="18" customFormat="1" ht="76.5">
      <c r="B26" s="187"/>
      <c r="C26" s="188"/>
      <c r="D26" s="122" t="s">
        <v>100</v>
      </c>
      <c r="E26" s="125" t="s">
        <v>112</v>
      </c>
      <c r="F26" s="125"/>
      <c r="G26" s="125"/>
      <c r="H26" s="123" t="s">
        <v>113</v>
      </c>
      <c r="I26" s="581" t="s">
        <v>114</v>
      </c>
      <c r="J26" s="119">
        <v>0</v>
      </c>
      <c r="K26" s="120">
        <v>0</v>
      </c>
      <c r="L26" s="120">
        <v>0</v>
      </c>
      <c r="M26" s="120">
        <v>0</v>
      </c>
      <c r="N26" s="121">
        <v>0</v>
      </c>
      <c r="O26" s="120">
        <v>0</v>
      </c>
      <c r="P26" s="121">
        <v>0</v>
      </c>
      <c r="Q26" s="120">
        <v>0</v>
      </c>
      <c r="R26" s="120">
        <v>0</v>
      </c>
      <c r="S26" s="120">
        <v>0</v>
      </c>
      <c r="T26" s="120">
        <v>0</v>
      </c>
      <c r="U26" s="120">
        <v>0</v>
      </c>
      <c r="V26" s="120">
        <v>0</v>
      </c>
      <c r="W26" s="120">
        <v>0</v>
      </c>
      <c r="X26" s="120">
        <v>0</v>
      </c>
      <c r="Y26" s="120">
        <v>0</v>
      </c>
      <c r="Z26" s="210">
        <v>0</v>
      </c>
      <c r="AA26" s="187" t="s">
        <v>70</v>
      </c>
      <c r="AB26" s="537" t="s">
        <v>71</v>
      </c>
      <c r="AC26" s="539" t="s">
        <v>115</v>
      </c>
    </row>
    <row r="27" spans="1:29" s="18" customFormat="1" ht="30">
      <c r="B27" s="185"/>
      <c r="C27" s="186" t="s">
        <v>116</v>
      </c>
      <c r="D27" s="117" t="s">
        <v>117</v>
      </c>
      <c r="E27" s="117"/>
      <c r="F27" s="117"/>
      <c r="G27" s="117"/>
      <c r="H27" s="118" t="s">
        <v>118</v>
      </c>
      <c r="I27" s="580" t="s">
        <v>118</v>
      </c>
      <c r="J27" s="119"/>
      <c r="K27" s="120"/>
      <c r="L27" s="120"/>
      <c r="M27" s="120"/>
      <c r="N27" s="121"/>
      <c r="O27" s="120"/>
      <c r="P27" s="121"/>
      <c r="Q27" s="126"/>
      <c r="R27" s="126"/>
      <c r="S27" s="126"/>
      <c r="T27" s="126"/>
      <c r="U27" s="126"/>
      <c r="V27" s="126"/>
      <c r="W27" s="126"/>
      <c r="X27" s="126"/>
      <c r="Y27" s="126"/>
      <c r="Z27" s="211"/>
      <c r="AA27" s="540"/>
      <c r="AB27" s="540"/>
      <c r="AC27" s="540"/>
    </row>
    <row r="28" spans="1:29" s="18" customFormat="1" ht="54" customHeight="1">
      <c r="B28" s="187"/>
      <c r="C28" s="188"/>
      <c r="D28" s="189" t="s">
        <v>84</v>
      </c>
      <c r="E28" s="1214" t="s">
        <v>119</v>
      </c>
      <c r="F28" s="1214"/>
      <c r="G28" s="1214"/>
      <c r="H28" s="123" t="s">
        <v>120</v>
      </c>
      <c r="I28" s="583" t="s">
        <v>76</v>
      </c>
      <c r="J28" s="119">
        <v>0</v>
      </c>
      <c r="K28" s="120">
        <v>0</v>
      </c>
      <c r="L28" s="120">
        <v>0</v>
      </c>
      <c r="M28" s="120">
        <v>0</v>
      </c>
      <c r="N28" s="121">
        <v>0</v>
      </c>
      <c r="O28" s="120">
        <v>0</v>
      </c>
      <c r="P28" s="121">
        <v>0</v>
      </c>
      <c r="Q28" s="120">
        <v>0</v>
      </c>
      <c r="R28" s="120">
        <v>0</v>
      </c>
      <c r="S28" s="120">
        <v>0</v>
      </c>
      <c r="T28" s="120">
        <v>0</v>
      </c>
      <c r="U28" s="120">
        <v>0</v>
      </c>
      <c r="V28" s="120">
        <v>0</v>
      </c>
      <c r="W28" s="120">
        <v>0</v>
      </c>
      <c r="X28" s="120">
        <v>0</v>
      </c>
      <c r="Y28" s="120">
        <v>0</v>
      </c>
      <c r="Z28" s="210"/>
      <c r="AA28" s="187" t="s">
        <v>70</v>
      </c>
      <c r="AB28" s="537" t="s">
        <v>71</v>
      </c>
      <c r="AC28" s="135" t="s">
        <v>72</v>
      </c>
    </row>
    <row r="29" spans="1:29" s="18" customFormat="1" ht="59.1" customHeight="1">
      <c r="B29" s="187"/>
      <c r="C29" s="188"/>
      <c r="D29" s="122" t="s">
        <v>100</v>
      </c>
      <c r="E29" s="125" t="s">
        <v>101</v>
      </c>
      <c r="F29" s="125"/>
      <c r="G29" s="125"/>
      <c r="H29" s="123" t="s">
        <v>121</v>
      </c>
      <c r="I29" s="581" t="s">
        <v>122</v>
      </c>
      <c r="J29" s="119">
        <v>426</v>
      </c>
      <c r="K29" s="120">
        <v>0</v>
      </c>
      <c r="L29" s="120">
        <v>0</v>
      </c>
      <c r="M29" s="120">
        <v>0</v>
      </c>
      <c r="N29" s="121">
        <v>0</v>
      </c>
      <c r="O29" s="120">
        <v>425.83938683975617</v>
      </c>
      <c r="P29" s="121">
        <v>0</v>
      </c>
      <c r="Q29" s="120">
        <v>0</v>
      </c>
      <c r="R29" s="120">
        <v>0</v>
      </c>
      <c r="S29" s="120">
        <v>0</v>
      </c>
      <c r="T29" s="120">
        <v>0</v>
      </c>
      <c r="U29" s="120">
        <v>0</v>
      </c>
      <c r="V29" s="120">
        <v>0</v>
      </c>
      <c r="W29" s="120">
        <v>0</v>
      </c>
      <c r="X29" s="120">
        <v>0</v>
      </c>
      <c r="Y29" s="120">
        <v>0</v>
      </c>
      <c r="Z29" s="210"/>
      <c r="AA29" s="187" t="s">
        <v>70</v>
      </c>
      <c r="AB29" s="537" t="s">
        <v>71</v>
      </c>
      <c r="AC29" s="538" t="s">
        <v>123</v>
      </c>
    </row>
    <row r="30" spans="1:29" s="18" customFormat="1" ht="55.5" customHeight="1" thickBot="1">
      <c r="B30" s="190"/>
      <c r="C30" s="701" t="s">
        <v>124</v>
      </c>
      <c r="D30" s="702" t="s">
        <v>125</v>
      </c>
      <c r="E30" s="702"/>
      <c r="F30" s="702"/>
      <c r="G30" s="702"/>
      <c r="H30" s="127"/>
      <c r="I30" s="584"/>
      <c r="J30" s="582">
        <v>44586.670508184237</v>
      </c>
      <c r="K30" s="120"/>
      <c r="L30" s="120"/>
      <c r="M30" s="120"/>
      <c r="N30" s="121"/>
      <c r="O30" s="120"/>
      <c r="P30" s="121"/>
      <c r="Q30" s="120"/>
      <c r="R30" s="120"/>
      <c r="S30" s="120"/>
      <c r="T30" s="120"/>
      <c r="U30" s="120"/>
      <c r="V30" s="120"/>
      <c r="W30" s="120"/>
      <c r="X30" s="120"/>
      <c r="Y30" s="120"/>
      <c r="Z30" s="210">
        <v>44586.670508184237</v>
      </c>
      <c r="AA30" s="187" t="s">
        <v>70</v>
      </c>
      <c r="AB30" s="537" t="s">
        <v>71</v>
      </c>
      <c r="AC30" s="541" t="s">
        <v>126</v>
      </c>
    </row>
    <row r="31" spans="1:29" s="18" customFormat="1" ht="39" customHeight="1" thickBot="1">
      <c r="B31" s="191" t="s">
        <v>127</v>
      </c>
      <c r="C31" s="128"/>
      <c r="D31" s="128"/>
      <c r="E31" s="128"/>
      <c r="F31" s="128"/>
      <c r="G31" s="128"/>
      <c r="H31" s="129"/>
      <c r="I31" s="585"/>
      <c r="J31" s="586">
        <v>1386138.6705081842</v>
      </c>
      <c r="K31" s="130">
        <v>206378</v>
      </c>
      <c r="L31" s="130">
        <v>7533</v>
      </c>
      <c r="M31" s="130">
        <v>12508</v>
      </c>
      <c r="N31" s="130">
        <v>7434</v>
      </c>
      <c r="O31" s="130">
        <v>34356</v>
      </c>
      <c r="P31" s="130">
        <v>67665</v>
      </c>
      <c r="Q31" s="130">
        <v>26914</v>
      </c>
      <c r="R31" s="130">
        <v>359931</v>
      </c>
      <c r="S31" s="130">
        <v>372910</v>
      </c>
      <c r="T31" s="130">
        <v>135383</v>
      </c>
      <c r="U31" s="130">
        <v>44082</v>
      </c>
      <c r="V31" s="130">
        <v>66458</v>
      </c>
      <c r="W31" s="130">
        <v>0</v>
      </c>
      <c r="X31" s="130">
        <v>0</v>
      </c>
      <c r="Y31" s="130">
        <v>0</v>
      </c>
      <c r="Z31" s="212">
        <v>44587</v>
      </c>
      <c r="AA31" s="542"/>
      <c r="AB31" s="542"/>
      <c r="AC31" s="542"/>
    </row>
    <row r="32" spans="1:29" s="18" customFormat="1" ht="34.5" customHeight="1" thickBot="1">
      <c r="B32" s="131"/>
      <c r="C32" s="131"/>
      <c r="D32" s="131"/>
      <c r="E32" s="131"/>
      <c r="F32" s="131"/>
      <c r="G32" s="131"/>
      <c r="H32" s="703"/>
      <c r="I32" s="704"/>
      <c r="J32" s="131"/>
      <c r="K32" s="131"/>
      <c r="L32" s="131"/>
      <c r="M32" s="131"/>
      <c r="N32" s="131"/>
      <c r="O32" s="131"/>
      <c r="P32" s="131"/>
      <c r="Q32" s="131"/>
      <c r="R32" s="131"/>
      <c r="S32" s="131"/>
      <c r="T32" s="131"/>
      <c r="U32" s="131"/>
      <c r="V32" s="131"/>
      <c r="W32" s="131"/>
      <c r="X32" s="131"/>
      <c r="Y32" s="131"/>
      <c r="Z32" s="131"/>
      <c r="AA32" s="131"/>
      <c r="AB32" s="131"/>
      <c r="AC32" s="131"/>
    </row>
    <row r="33" spans="2:29" s="18" customFormat="1" ht="40.5" customHeight="1">
      <c r="B33" s="192" t="s">
        <v>128</v>
      </c>
      <c r="C33" s="132" t="s">
        <v>4</v>
      </c>
      <c r="D33" s="132"/>
      <c r="E33" s="132"/>
      <c r="F33" s="132"/>
      <c r="G33" s="122"/>
      <c r="H33" s="133"/>
      <c r="I33" s="587"/>
      <c r="J33" s="134"/>
      <c r="K33" s="135"/>
      <c r="L33" s="135"/>
      <c r="M33" s="135"/>
      <c r="N33" s="122"/>
      <c r="O33" s="135"/>
      <c r="P33" s="122"/>
      <c r="Q33" s="135"/>
      <c r="R33" s="135"/>
      <c r="S33" s="135"/>
      <c r="T33" s="135"/>
      <c r="U33" s="135"/>
      <c r="V33" s="135"/>
      <c r="W33" s="135"/>
      <c r="X33" s="135"/>
      <c r="Y33" s="135"/>
      <c r="Z33" s="213"/>
      <c r="AA33" s="135"/>
      <c r="AB33" s="135"/>
      <c r="AC33" s="135"/>
    </row>
    <row r="34" spans="2:29" s="18" customFormat="1" ht="30">
      <c r="B34" s="187"/>
      <c r="C34" s="193" t="s">
        <v>66</v>
      </c>
      <c r="D34" s="122" t="s">
        <v>129</v>
      </c>
      <c r="E34" s="122"/>
      <c r="F34" s="122"/>
      <c r="G34" s="122"/>
      <c r="H34" s="118" t="s">
        <v>130</v>
      </c>
      <c r="I34" s="588"/>
      <c r="J34" s="134"/>
      <c r="K34" s="135"/>
      <c r="L34" s="135"/>
      <c r="M34" s="135"/>
      <c r="N34" s="122"/>
      <c r="O34" s="135"/>
      <c r="P34" s="122"/>
      <c r="Q34" s="135"/>
      <c r="R34" s="135"/>
      <c r="S34" s="135"/>
      <c r="T34" s="135"/>
      <c r="U34" s="135"/>
      <c r="V34" s="135"/>
      <c r="W34" s="135"/>
      <c r="X34" s="135"/>
      <c r="Y34" s="135"/>
      <c r="Z34" s="213"/>
      <c r="AA34" s="187"/>
      <c r="AB34" s="537"/>
      <c r="AC34" s="135"/>
    </row>
    <row r="35" spans="2:29" s="18" customFormat="1" ht="54">
      <c r="B35" s="187"/>
      <c r="C35" s="188"/>
      <c r="D35" s="122" t="s">
        <v>84</v>
      </c>
      <c r="E35" s="122" t="s">
        <v>131</v>
      </c>
      <c r="F35" s="122"/>
      <c r="G35" s="122"/>
      <c r="H35" s="123" t="s">
        <v>132</v>
      </c>
      <c r="I35" s="589" t="s">
        <v>133</v>
      </c>
      <c r="J35" s="136">
        <v>57262</v>
      </c>
      <c r="K35" s="120">
        <v>57261.739644215937</v>
      </c>
      <c r="L35" s="120">
        <v>0</v>
      </c>
      <c r="M35" s="120">
        <v>0</v>
      </c>
      <c r="N35" s="121">
        <v>0</v>
      </c>
      <c r="O35" s="120">
        <v>0</v>
      </c>
      <c r="P35" s="121">
        <v>0</v>
      </c>
      <c r="Q35" s="120">
        <v>0</v>
      </c>
      <c r="R35" s="120">
        <v>0</v>
      </c>
      <c r="S35" s="120">
        <v>0</v>
      </c>
      <c r="T35" s="120">
        <v>0</v>
      </c>
      <c r="U35" s="120">
        <v>0</v>
      </c>
      <c r="V35" s="120">
        <v>0</v>
      </c>
      <c r="W35" s="120">
        <v>0</v>
      </c>
      <c r="X35" s="120">
        <v>0</v>
      </c>
      <c r="Y35" s="120">
        <v>0</v>
      </c>
      <c r="Z35" s="210"/>
      <c r="AA35" s="187" t="s">
        <v>70</v>
      </c>
      <c r="AB35" s="537" t="s">
        <v>71</v>
      </c>
      <c r="AC35" s="135" t="s">
        <v>72</v>
      </c>
    </row>
    <row r="36" spans="2:29" s="18" customFormat="1" ht="54">
      <c r="B36" s="187"/>
      <c r="C36" s="188"/>
      <c r="D36" s="122" t="s">
        <v>100</v>
      </c>
      <c r="E36" s="122" t="s">
        <v>134</v>
      </c>
      <c r="F36" s="122"/>
      <c r="G36" s="122"/>
      <c r="H36" s="123" t="s">
        <v>135</v>
      </c>
      <c r="I36" s="590" t="s">
        <v>136</v>
      </c>
      <c r="J36" s="136">
        <v>25</v>
      </c>
      <c r="K36" s="120">
        <v>25.353444010910149</v>
      </c>
      <c r="L36" s="120">
        <v>0</v>
      </c>
      <c r="M36" s="120">
        <v>0</v>
      </c>
      <c r="N36" s="121">
        <v>0</v>
      </c>
      <c r="O36" s="120">
        <v>0</v>
      </c>
      <c r="P36" s="121">
        <v>0</v>
      </c>
      <c r="Q36" s="120">
        <v>0</v>
      </c>
      <c r="R36" s="120">
        <v>0</v>
      </c>
      <c r="S36" s="120">
        <v>0</v>
      </c>
      <c r="T36" s="120">
        <v>0</v>
      </c>
      <c r="U36" s="120">
        <v>0</v>
      </c>
      <c r="V36" s="120">
        <v>0</v>
      </c>
      <c r="W36" s="120">
        <v>0</v>
      </c>
      <c r="X36" s="120">
        <v>0</v>
      </c>
      <c r="Y36" s="120">
        <v>0</v>
      </c>
      <c r="Z36" s="210"/>
      <c r="AA36" s="187" t="s">
        <v>70</v>
      </c>
      <c r="AB36" s="537" t="s">
        <v>71</v>
      </c>
      <c r="AC36" s="135" t="s">
        <v>72</v>
      </c>
    </row>
    <row r="37" spans="2:29" s="18" customFormat="1" ht="46.5" customHeight="1">
      <c r="B37" s="187"/>
      <c r="C37" s="188"/>
      <c r="D37" s="122" t="s">
        <v>137</v>
      </c>
      <c r="E37" s="122" t="s">
        <v>138</v>
      </c>
      <c r="F37" s="122"/>
      <c r="G37" s="122"/>
      <c r="H37" s="123" t="s">
        <v>139</v>
      </c>
      <c r="I37" s="588"/>
      <c r="J37" s="136"/>
      <c r="K37" s="120"/>
      <c r="L37" s="120"/>
      <c r="M37" s="120"/>
      <c r="N37" s="121"/>
      <c r="O37" s="120"/>
      <c r="P37" s="121"/>
      <c r="Q37" s="120"/>
      <c r="R37" s="120"/>
      <c r="S37" s="120"/>
      <c r="T37" s="120"/>
      <c r="U37" s="120"/>
      <c r="V37" s="120"/>
      <c r="W37" s="120"/>
      <c r="X37" s="120"/>
      <c r="Y37" s="120"/>
      <c r="Z37" s="210"/>
      <c r="AA37" s="187"/>
      <c r="AB37" s="537"/>
      <c r="AC37" s="135"/>
    </row>
    <row r="38" spans="2:29" s="18" customFormat="1" ht="54">
      <c r="B38" s="187"/>
      <c r="C38" s="188"/>
      <c r="D38" s="122"/>
      <c r="E38" s="122" t="s">
        <v>87</v>
      </c>
      <c r="F38" s="122" t="s">
        <v>140</v>
      </c>
      <c r="G38" s="122"/>
      <c r="H38" s="124" t="s">
        <v>141</v>
      </c>
      <c r="I38" s="588" t="s">
        <v>76</v>
      </c>
      <c r="J38" s="136">
        <v>0</v>
      </c>
      <c r="K38" s="120">
        <v>0</v>
      </c>
      <c r="L38" s="120">
        <v>0</v>
      </c>
      <c r="M38" s="120">
        <v>0</v>
      </c>
      <c r="N38" s="121">
        <v>0</v>
      </c>
      <c r="O38" s="120">
        <v>0</v>
      </c>
      <c r="P38" s="121">
        <v>0</v>
      </c>
      <c r="Q38" s="120">
        <v>0</v>
      </c>
      <c r="R38" s="120">
        <v>0</v>
      </c>
      <c r="S38" s="120">
        <v>0</v>
      </c>
      <c r="T38" s="120">
        <v>0</v>
      </c>
      <c r="U38" s="120">
        <v>0</v>
      </c>
      <c r="V38" s="120">
        <v>0</v>
      </c>
      <c r="W38" s="120">
        <v>0</v>
      </c>
      <c r="X38" s="120">
        <v>0</v>
      </c>
      <c r="Y38" s="120">
        <v>0</v>
      </c>
      <c r="Z38" s="210"/>
      <c r="AA38" s="187" t="s">
        <v>70</v>
      </c>
      <c r="AB38" s="537" t="s">
        <v>71</v>
      </c>
      <c r="AC38" s="135" t="s">
        <v>72</v>
      </c>
    </row>
    <row r="39" spans="2:29" s="18" customFormat="1" ht="54">
      <c r="B39" s="187"/>
      <c r="C39" s="188"/>
      <c r="D39" s="122"/>
      <c r="E39" s="122" t="s">
        <v>90</v>
      </c>
      <c r="F39" s="122" t="s">
        <v>142</v>
      </c>
      <c r="G39" s="122"/>
      <c r="H39" s="124" t="s">
        <v>143</v>
      </c>
      <c r="I39" s="589" t="s">
        <v>144</v>
      </c>
      <c r="J39" s="136">
        <v>29058</v>
      </c>
      <c r="K39" s="120">
        <v>166.94231389689398</v>
      </c>
      <c r="L39" s="120">
        <v>7450</v>
      </c>
      <c r="M39" s="120">
        <v>3022.9095852895598</v>
      </c>
      <c r="N39" s="121">
        <v>18371.621890000002</v>
      </c>
      <c r="O39" s="120">
        <v>46.685969870443685</v>
      </c>
      <c r="P39" s="121">
        <v>0</v>
      </c>
      <c r="Q39" s="120">
        <v>0</v>
      </c>
      <c r="R39" s="120">
        <v>0</v>
      </c>
      <c r="S39" s="120">
        <v>0</v>
      </c>
      <c r="T39" s="120">
        <v>0</v>
      </c>
      <c r="U39" s="120">
        <v>0</v>
      </c>
      <c r="V39" s="120">
        <v>0</v>
      </c>
      <c r="W39" s="120">
        <v>0</v>
      </c>
      <c r="X39" s="120">
        <v>0</v>
      </c>
      <c r="Y39" s="120">
        <v>0</v>
      </c>
      <c r="Z39" s="210"/>
      <c r="AA39" s="187" t="s">
        <v>70</v>
      </c>
      <c r="AB39" s="537" t="s">
        <v>71</v>
      </c>
      <c r="AC39" s="135" t="s">
        <v>72</v>
      </c>
    </row>
    <row r="40" spans="2:29" s="18" customFormat="1" ht="76.5">
      <c r="B40" s="187"/>
      <c r="C40" s="188"/>
      <c r="D40" s="122"/>
      <c r="E40" s="122" t="s">
        <v>93</v>
      </c>
      <c r="F40" s="122" t="s">
        <v>101</v>
      </c>
      <c r="G40" s="122"/>
      <c r="H40" s="124" t="s">
        <v>145</v>
      </c>
      <c r="I40" s="588" t="s">
        <v>76</v>
      </c>
      <c r="J40" s="136">
        <v>0</v>
      </c>
      <c r="K40" s="120">
        <v>0</v>
      </c>
      <c r="L40" s="120">
        <v>0</v>
      </c>
      <c r="M40" s="120">
        <v>0</v>
      </c>
      <c r="N40" s="121">
        <v>0</v>
      </c>
      <c r="O40" s="120">
        <v>0</v>
      </c>
      <c r="P40" s="121">
        <v>0</v>
      </c>
      <c r="Q40" s="120">
        <v>0</v>
      </c>
      <c r="R40" s="120">
        <v>0</v>
      </c>
      <c r="S40" s="120">
        <v>0</v>
      </c>
      <c r="T40" s="120">
        <v>0</v>
      </c>
      <c r="U40" s="120">
        <v>0</v>
      </c>
      <c r="V40" s="120">
        <v>0</v>
      </c>
      <c r="W40" s="120">
        <v>0</v>
      </c>
      <c r="X40" s="120">
        <v>0</v>
      </c>
      <c r="Y40" s="120">
        <v>0</v>
      </c>
      <c r="Z40" s="210"/>
      <c r="AA40" s="187" t="s">
        <v>70</v>
      </c>
      <c r="AB40" s="537" t="s">
        <v>71</v>
      </c>
      <c r="AC40" s="538" t="s">
        <v>146</v>
      </c>
    </row>
    <row r="41" spans="2:29" s="18" customFormat="1" ht="54">
      <c r="B41" s="187"/>
      <c r="C41" s="193" t="s">
        <v>73</v>
      </c>
      <c r="D41" s="122" t="s">
        <v>147</v>
      </c>
      <c r="E41" s="122"/>
      <c r="F41" s="122"/>
      <c r="G41" s="122"/>
      <c r="H41" s="118" t="s">
        <v>148</v>
      </c>
      <c r="I41" s="590" t="s">
        <v>149</v>
      </c>
      <c r="J41" s="136">
        <v>135</v>
      </c>
      <c r="K41" s="120">
        <v>134.86636702111647</v>
      </c>
      <c r="L41" s="120">
        <v>0</v>
      </c>
      <c r="M41" s="120">
        <v>0</v>
      </c>
      <c r="N41" s="121">
        <v>0</v>
      </c>
      <c r="O41" s="120">
        <v>0</v>
      </c>
      <c r="P41" s="121">
        <v>0</v>
      </c>
      <c r="Q41" s="120">
        <v>0</v>
      </c>
      <c r="R41" s="120">
        <v>0</v>
      </c>
      <c r="S41" s="120">
        <v>0</v>
      </c>
      <c r="T41" s="120">
        <v>0</v>
      </c>
      <c r="U41" s="120">
        <v>0</v>
      </c>
      <c r="V41" s="120">
        <v>0</v>
      </c>
      <c r="W41" s="120">
        <v>0</v>
      </c>
      <c r="X41" s="120">
        <v>0</v>
      </c>
      <c r="Y41" s="120">
        <v>0</v>
      </c>
      <c r="Z41" s="210"/>
      <c r="AA41" s="187" t="s">
        <v>70</v>
      </c>
      <c r="AB41" s="537" t="s">
        <v>71</v>
      </c>
      <c r="AC41" s="135" t="s">
        <v>72</v>
      </c>
    </row>
    <row r="42" spans="2:29" s="18" customFormat="1" ht="60">
      <c r="B42" s="187"/>
      <c r="C42" s="193" t="s">
        <v>77</v>
      </c>
      <c r="D42" s="122" t="s">
        <v>150</v>
      </c>
      <c r="E42" s="122"/>
      <c r="F42" s="122"/>
      <c r="G42" s="122"/>
      <c r="H42" s="118" t="s">
        <v>151</v>
      </c>
      <c r="I42" s="589" t="s">
        <v>152</v>
      </c>
      <c r="J42" s="136">
        <v>1255775</v>
      </c>
      <c r="K42" s="120">
        <v>92087.996100826043</v>
      </c>
      <c r="L42" s="120">
        <v>0</v>
      </c>
      <c r="M42" s="120">
        <v>0</v>
      </c>
      <c r="N42" s="121">
        <v>0</v>
      </c>
      <c r="O42" s="120">
        <v>492000</v>
      </c>
      <c r="P42" s="121">
        <v>444825.26203044836</v>
      </c>
      <c r="Q42" s="120">
        <v>46861.350200000001</v>
      </c>
      <c r="R42" s="120">
        <v>0</v>
      </c>
      <c r="S42" s="120">
        <v>0</v>
      </c>
      <c r="T42" s="120">
        <v>150000</v>
      </c>
      <c r="U42" s="120">
        <v>0</v>
      </c>
      <c r="V42" s="120">
        <v>0</v>
      </c>
      <c r="W42" s="120">
        <v>0</v>
      </c>
      <c r="X42" s="120">
        <v>0</v>
      </c>
      <c r="Y42" s="120">
        <v>30000</v>
      </c>
      <c r="Z42" s="210"/>
      <c r="AA42" s="187" t="s">
        <v>70</v>
      </c>
      <c r="AB42" s="537" t="s">
        <v>71</v>
      </c>
      <c r="AC42" s="135" t="s">
        <v>72</v>
      </c>
    </row>
    <row r="43" spans="2:29" s="18" customFormat="1" ht="40.5" customHeight="1">
      <c r="B43" s="187"/>
      <c r="C43" s="193" t="s">
        <v>81</v>
      </c>
      <c r="D43" s="122" t="s">
        <v>153</v>
      </c>
      <c r="E43" s="122"/>
      <c r="F43" s="122"/>
      <c r="G43" s="122"/>
      <c r="H43" s="118" t="s">
        <v>154</v>
      </c>
      <c r="I43" s="588"/>
      <c r="J43" s="136"/>
      <c r="K43" s="120"/>
      <c r="L43" s="120"/>
      <c r="M43" s="120"/>
      <c r="N43" s="121"/>
      <c r="O43" s="120"/>
      <c r="P43" s="121"/>
      <c r="Q43" s="120"/>
      <c r="R43" s="120"/>
      <c r="S43" s="120"/>
      <c r="T43" s="120"/>
      <c r="U43" s="120"/>
      <c r="V43" s="120"/>
      <c r="W43" s="120"/>
      <c r="X43" s="120"/>
      <c r="Y43" s="120"/>
      <c r="Z43" s="210"/>
      <c r="AA43" s="187"/>
      <c r="AB43" s="537"/>
      <c r="AC43" s="135"/>
    </row>
    <row r="44" spans="2:29" s="18" customFormat="1" ht="54">
      <c r="B44" s="187"/>
      <c r="C44" s="188"/>
      <c r="D44" s="122" t="s">
        <v>84</v>
      </c>
      <c r="E44" s="122" t="s">
        <v>155</v>
      </c>
      <c r="F44" s="122"/>
      <c r="G44" s="122"/>
      <c r="H44" s="123" t="s">
        <v>156</v>
      </c>
      <c r="I44" s="588" t="s">
        <v>76</v>
      </c>
      <c r="J44" s="136">
        <v>0</v>
      </c>
      <c r="K44" s="120">
        <v>0</v>
      </c>
      <c r="L44" s="120">
        <v>0</v>
      </c>
      <c r="M44" s="120">
        <v>0</v>
      </c>
      <c r="N44" s="121">
        <v>0</v>
      </c>
      <c r="O44" s="120">
        <v>0</v>
      </c>
      <c r="P44" s="121">
        <v>0</v>
      </c>
      <c r="Q44" s="120">
        <v>0</v>
      </c>
      <c r="R44" s="120">
        <v>0</v>
      </c>
      <c r="S44" s="120">
        <v>0</v>
      </c>
      <c r="T44" s="120">
        <v>0</v>
      </c>
      <c r="U44" s="120">
        <v>0</v>
      </c>
      <c r="V44" s="120">
        <v>0</v>
      </c>
      <c r="W44" s="120">
        <v>0</v>
      </c>
      <c r="X44" s="120">
        <v>0</v>
      </c>
      <c r="Y44" s="120">
        <v>0</v>
      </c>
      <c r="Z44" s="210"/>
      <c r="AA44" s="187" t="s">
        <v>70</v>
      </c>
      <c r="AB44" s="537" t="s">
        <v>71</v>
      </c>
      <c r="AC44" s="135" t="s">
        <v>72</v>
      </c>
    </row>
    <row r="45" spans="2:29" s="18" customFormat="1" ht="54">
      <c r="B45" s="187"/>
      <c r="C45" s="188"/>
      <c r="D45" s="122" t="s">
        <v>100</v>
      </c>
      <c r="E45" s="122" t="s">
        <v>157</v>
      </c>
      <c r="F45" s="122"/>
      <c r="G45" s="122"/>
      <c r="H45" s="123" t="s">
        <v>158</v>
      </c>
      <c r="I45" s="588" t="s">
        <v>76</v>
      </c>
      <c r="J45" s="136">
        <v>0</v>
      </c>
      <c r="K45" s="120">
        <v>0</v>
      </c>
      <c r="L45" s="120">
        <v>0</v>
      </c>
      <c r="M45" s="120">
        <v>0</v>
      </c>
      <c r="N45" s="121">
        <v>0</v>
      </c>
      <c r="O45" s="120">
        <v>0</v>
      </c>
      <c r="P45" s="121">
        <v>0</v>
      </c>
      <c r="Q45" s="120">
        <v>0</v>
      </c>
      <c r="R45" s="120">
        <v>0</v>
      </c>
      <c r="S45" s="120">
        <v>0</v>
      </c>
      <c r="T45" s="120">
        <v>0</v>
      </c>
      <c r="U45" s="120">
        <v>0</v>
      </c>
      <c r="V45" s="120">
        <v>0</v>
      </c>
      <c r="W45" s="120">
        <v>0</v>
      </c>
      <c r="X45" s="120">
        <v>0</v>
      </c>
      <c r="Y45" s="120">
        <v>0</v>
      </c>
      <c r="Z45" s="210"/>
      <c r="AA45" s="187" t="s">
        <v>70</v>
      </c>
      <c r="AB45" s="537" t="s">
        <v>71</v>
      </c>
      <c r="AC45" s="135" t="s">
        <v>72</v>
      </c>
    </row>
    <row r="46" spans="2:29" s="18" customFormat="1" ht="54">
      <c r="B46" s="187"/>
      <c r="C46" s="188"/>
      <c r="D46" s="122" t="s">
        <v>137</v>
      </c>
      <c r="E46" s="122" t="s">
        <v>101</v>
      </c>
      <c r="F46" s="122"/>
      <c r="G46" s="122"/>
      <c r="H46" s="123" t="s">
        <v>159</v>
      </c>
      <c r="I46" s="588" t="s">
        <v>76</v>
      </c>
      <c r="J46" s="136">
        <v>0</v>
      </c>
      <c r="K46" s="120">
        <v>0</v>
      </c>
      <c r="L46" s="120">
        <v>0</v>
      </c>
      <c r="M46" s="120">
        <v>0</v>
      </c>
      <c r="N46" s="121">
        <v>0</v>
      </c>
      <c r="O46" s="120">
        <v>0</v>
      </c>
      <c r="P46" s="121">
        <v>0</v>
      </c>
      <c r="Q46" s="120">
        <v>0</v>
      </c>
      <c r="R46" s="120">
        <v>0</v>
      </c>
      <c r="S46" s="120">
        <v>0</v>
      </c>
      <c r="T46" s="120">
        <v>0</v>
      </c>
      <c r="U46" s="120">
        <v>0</v>
      </c>
      <c r="V46" s="120">
        <v>0</v>
      </c>
      <c r="W46" s="120">
        <v>0</v>
      </c>
      <c r="X46" s="120">
        <v>0</v>
      </c>
      <c r="Y46" s="120">
        <v>0</v>
      </c>
      <c r="Z46" s="210"/>
      <c r="AA46" s="187" t="s">
        <v>70</v>
      </c>
      <c r="AB46" s="537" t="s">
        <v>71</v>
      </c>
      <c r="AC46" s="135"/>
    </row>
    <row r="47" spans="2:29" s="18" customFormat="1" ht="30">
      <c r="B47" s="187"/>
      <c r="C47" s="193" t="s">
        <v>105</v>
      </c>
      <c r="D47" s="122" t="s">
        <v>160</v>
      </c>
      <c r="E47" s="122"/>
      <c r="F47" s="122"/>
      <c r="G47" s="122"/>
      <c r="H47" s="118" t="s">
        <v>161</v>
      </c>
      <c r="I47" s="588"/>
      <c r="J47" s="136"/>
      <c r="K47" s="120"/>
      <c r="L47" s="120"/>
      <c r="M47" s="120"/>
      <c r="N47" s="121"/>
      <c r="O47" s="120"/>
      <c r="P47" s="121"/>
      <c r="Q47" s="120"/>
      <c r="R47" s="120"/>
      <c r="S47" s="120"/>
      <c r="T47" s="120"/>
      <c r="U47" s="120"/>
      <c r="V47" s="120"/>
      <c r="W47" s="120"/>
      <c r="X47" s="120"/>
      <c r="Y47" s="120"/>
      <c r="Z47" s="210"/>
      <c r="AA47" s="187"/>
      <c r="AB47" s="537"/>
      <c r="AC47" s="135"/>
    </row>
    <row r="48" spans="2:29" s="18" customFormat="1" ht="84" customHeight="1">
      <c r="B48" s="187"/>
      <c r="C48" s="188"/>
      <c r="D48" s="122" t="s">
        <v>84</v>
      </c>
      <c r="E48" s="122" t="s">
        <v>162</v>
      </c>
      <c r="F48" s="122"/>
      <c r="G48" s="122"/>
      <c r="H48" s="123" t="s">
        <v>163</v>
      </c>
      <c r="I48" s="588" t="s">
        <v>76</v>
      </c>
      <c r="J48" s="136">
        <v>0</v>
      </c>
      <c r="K48" s="126">
        <v>0</v>
      </c>
      <c r="L48" s="126">
        <v>0</v>
      </c>
      <c r="M48" s="126">
        <v>0</v>
      </c>
      <c r="N48" s="137">
        <v>0</v>
      </c>
      <c r="O48" s="126">
        <v>0</v>
      </c>
      <c r="P48" s="137">
        <v>0</v>
      </c>
      <c r="Q48" s="126">
        <v>0</v>
      </c>
      <c r="R48" s="126">
        <v>0</v>
      </c>
      <c r="S48" s="126">
        <v>0</v>
      </c>
      <c r="T48" s="126">
        <v>0</v>
      </c>
      <c r="U48" s="126">
        <v>0</v>
      </c>
      <c r="V48" s="126">
        <v>0</v>
      </c>
      <c r="W48" s="126">
        <v>0</v>
      </c>
      <c r="X48" s="126">
        <v>0</v>
      </c>
      <c r="Y48" s="126">
        <v>0</v>
      </c>
      <c r="Z48" s="211"/>
      <c r="AA48" s="187" t="s">
        <v>70</v>
      </c>
      <c r="AB48" s="537" t="s">
        <v>71</v>
      </c>
      <c r="AC48" s="538" t="s">
        <v>164</v>
      </c>
    </row>
    <row r="49" spans="2:29" s="18" customFormat="1" ht="99.75" customHeight="1">
      <c r="B49" s="187"/>
      <c r="C49" s="188"/>
      <c r="D49" s="122" t="s">
        <v>100</v>
      </c>
      <c r="E49" s="122" t="s">
        <v>101</v>
      </c>
      <c r="F49" s="122"/>
      <c r="G49" s="122"/>
      <c r="H49" s="123" t="s">
        <v>165</v>
      </c>
      <c r="I49" s="588" t="s">
        <v>76</v>
      </c>
      <c r="J49" s="136">
        <v>0</v>
      </c>
      <c r="K49" s="126">
        <v>0</v>
      </c>
      <c r="L49" s="126">
        <v>0</v>
      </c>
      <c r="M49" s="126">
        <v>0</v>
      </c>
      <c r="N49" s="137">
        <v>0</v>
      </c>
      <c r="O49" s="126">
        <v>0</v>
      </c>
      <c r="P49" s="137">
        <v>0</v>
      </c>
      <c r="Q49" s="126">
        <v>0</v>
      </c>
      <c r="R49" s="126">
        <v>0</v>
      </c>
      <c r="S49" s="126">
        <v>0</v>
      </c>
      <c r="T49" s="126">
        <v>0</v>
      </c>
      <c r="U49" s="126">
        <v>0</v>
      </c>
      <c r="V49" s="126">
        <v>0</v>
      </c>
      <c r="W49" s="126">
        <v>0</v>
      </c>
      <c r="X49" s="126">
        <v>0</v>
      </c>
      <c r="Y49" s="126">
        <v>0</v>
      </c>
      <c r="Z49" s="211"/>
      <c r="AA49" s="187" t="s">
        <v>70</v>
      </c>
      <c r="AB49" s="537" t="s">
        <v>71</v>
      </c>
      <c r="AC49" s="538" t="s">
        <v>166</v>
      </c>
    </row>
    <row r="50" spans="2:29" s="18" customFormat="1" ht="40.5" customHeight="1">
      <c r="B50" s="187"/>
      <c r="C50" s="193" t="s">
        <v>116</v>
      </c>
      <c r="D50" s="122" t="s">
        <v>167</v>
      </c>
      <c r="E50" s="122"/>
      <c r="F50" s="122"/>
      <c r="G50" s="122"/>
      <c r="H50" s="118" t="s">
        <v>168</v>
      </c>
      <c r="I50" s="580" t="s">
        <v>168</v>
      </c>
      <c r="J50" s="136"/>
      <c r="K50" s="126"/>
      <c r="L50" s="126" t="s">
        <v>169</v>
      </c>
      <c r="M50" s="126"/>
      <c r="N50" s="137"/>
      <c r="O50" s="126"/>
      <c r="P50" s="137"/>
      <c r="Q50" s="126"/>
      <c r="R50" s="126"/>
      <c r="S50" s="126"/>
      <c r="T50" s="126"/>
      <c r="U50" s="126"/>
      <c r="V50" s="126"/>
      <c r="W50" s="126"/>
      <c r="X50" s="126"/>
      <c r="Y50" s="126"/>
      <c r="Z50" s="211"/>
      <c r="AA50" s="187"/>
      <c r="AB50" s="543"/>
      <c r="AC50" s="540"/>
    </row>
    <row r="51" spans="2:29" s="18" customFormat="1" ht="72" customHeight="1">
      <c r="B51" s="187"/>
      <c r="C51" s="188"/>
      <c r="D51" s="122" t="s">
        <v>84</v>
      </c>
      <c r="E51" s="1214" t="s">
        <v>170</v>
      </c>
      <c r="F51" s="1214"/>
      <c r="G51" s="1214"/>
      <c r="H51" s="123" t="s">
        <v>171</v>
      </c>
      <c r="I51" s="588" t="s">
        <v>76</v>
      </c>
      <c r="J51" s="136">
        <v>0</v>
      </c>
      <c r="K51" s="126">
        <v>0</v>
      </c>
      <c r="L51" s="126">
        <v>0</v>
      </c>
      <c r="M51" s="126">
        <v>0</v>
      </c>
      <c r="N51" s="137">
        <v>0</v>
      </c>
      <c r="O51" s="126">
        <v>0</v>
      </c>
      <c r="P51" s="137">
        <v>0</v>
      </c>
      <c r="Q51" s="126">
        <v>0</v>
      </c>
      <c r="R51" s="126">
        <v>0</v>
      </c>
      <c r="S51" s="126">
        <v>0</v>
      </c>
      <c r="T51" s="126">
        <v>0</v>
      </c>
      <c r="U51" s="126">
        <v>0</v>
      </c>
      <c r="V51" s="126">
        <v>0</v>
      </c>
      <c r="W51" s="126">
        <v>0</v>
      </c>
      <c r="X51" s="126">
        <v>0</v>
      </c>
      <c r="Y51" s="126">
        <v>0</v>
      </c>
      <c r="Z51" s="211"/>
      <c r="AA51" s="187" t="s">
        <v>70</v>
      </c>
      <c r="AB51" s="537" t="s">
        <v>71</v>
      </c>
      <c r="AC51" s="135" t="s">
        <v>72</v>
      </c>
    </row>
    <row r="52" spans="2:29" s="18" customFormat="1" ht="96" customHeight="1">
      <c r="B52" s="187"/>
      <c r="C52" s="188"/>
      <c r="D52" s="122" t="s">
        <v>100</v>
      </c>
      <c r="E52" s="122" t="s">
        <v>101</v>
      </c>
      <c r="F52" s="122"/>
      <c r="G52" s="122"/>
      <c r="H52" s="123" t="s">
        <v>165</v>
      </c>
      <c r="I52" s="588" t="s">
        <v>76</v>
      </c>
      <c r="J52" s="136">
        <v>0</v>
      </c>
      <c r="K52" s="126">
        <v>0</v>
      </c>
      <c r="L52" s="126">
        <v>0</v>
      </c>
      <c r="M52" s="126">
        <v>0</v>
      </c>
      <c r="N52" s="137">
        <v>0</v>
      </c>
      <c r="O52" s="126">
        <v>0</v>
      </c>
      <c r="P52" s="137">
        <v>0</v>
      </c>
      <c r="Q52" s="126">
        <v>0</v>
      </c>
      <c r="R52" s="126">
        <v>0</v>
      </c>
      <c r="S52" s="126">
        <v>0</v>
      </c>
      <c r="T52" s="126">
        <v>0</v>
      </c>
      <c r="U52" s="126">
        <v>0</v>
      </c>
      <c r="V52" s="126">
        <v>0</v>
      </c>
      <c r="W52" s="126">
        <v>0</v>
      </c>
      <c r="X52" s="126">
        <v>0</v>
      </c>
      <c r="Y52" s="126">
        <v>0</v>
      </c>
      <c r="Z52" s="211"/>
      <c r="AA52" s="187" t="s">
        <v>70</v>
      </c>
      <c r="AB52" s="537" t="s">
        <v>71</v>
      </c>
      <c r="AC52" s="538" t="s">
        <v>172</v>
      </c>
    </row>
    <row r="53" spans="2:29" s="18" customFormat="1" ht="80.25" customHeight="1" thickBot="1">
      <c r="B53" s="194"/>
      <c r="C53" s="705" t="s">
        <v>124</v>
      </c>
      <c r="D53" s="702" t="s">
        <v>125</v>
      </c>
      <c r="E53" s="706"/>
      <c r="F53" s="706"/>
      <c r="G53" s="706"/>
      <c r="H53" s="127"/>
      <c r="I53" s="584"/>
      <c r="J53" s="136">
        <v>43883.670508184237</v>
      </c>
      <c r="K53" s="126"/>
      <c r="L53" s="126"/>
      <c r="M53" s="126"/>
      <c r="N53" s="137"/>
      <c r="O53" s="126"/>
      <c r="P53" s="137"/>
      <c r="Q53" s="126"/>
      <c r="R53" s="126"/>
      <c r="S53" s="126"/>
      <c r="T53" s="126"/>
      <c r="U53" s="126"/>
      <c r="V53" s="126"/>
      <c r="W53" s="126"/>
      <c r="X53" s="126"/>
      <c r="Y53" s="126"/>
      <c r="Z53" s="211">
        <v>43883.670508184237</v>
      </c>
      <c r="AA53" s="187" t="s">
        <v>70</v>
      </c>
      <c r="AB53" s="537" t="s">
        <v>71</v>
      </c>
      <c r="AC53" s="541" t="s">
        <v>173</v>
      </c>
    </row>
    <row r="54" spans="2:29" ht="40.5" customHeight="1" thickBot="1">
      <c r="B54" s="195" t="s">
        <v>174</v>
      </c>
      <c r="C54" s="138"/>
      <c r="D54" s="138"/>
      <c r="E54" s="138"/>
      <c r="F54" s="138"/>
      <c r="G54" s="138"/>
      <c r="H54" s="139"/>
      <c r="I54" s="591"/>
      <c r="J54" s="130">
        <v>1386138.6705081842</v>
      </c>
      <c r="K54" s="130">
        <v>149677</v>
      </c>
      <c r="L54" s="130">
        <v>7450</v>
      </c>
      <c r="M54" s="130">
        <v>3023</v>
      </c>
      <c r="N54" s="130">
        <v>18372</v>
      </c>
      <c r="O54" s="130">
        <v>492047</v>
      </c>
      <c r="P54" s="130">
        <v>444825</v>
      </c>
      <c r="Q54" s="130">
        <v>46861</v>
      </c>
      <c r="R54" s="130">
        <v>0</v>
      </c>
      <c r="S54" s="130">
        <v>0</v>
      </c>
      <c r="T54" s="130">
        <v>150000</v>
      </c>
      <c r="U54" s="130">
        <v>0</v>
      </c>
      <c r="V54" s="130">
        <v>0</v>
      </c>
      <c r="W54" s="130">
        <v>0</v>
      </c>
      <c r="X54" s="130">
        <v>0</v>
      </c>
      <c r="Y54" s="130">
        <v>30000</v>
      </c>
      <c r="Z54" s="212">
        <v>43883.670508184237</v>
      </c>
      <c r="AA54" s="141"/>
      <c r="AB54" s="141"/>
      <c r="AC54" s="141"/>
    </row>
    <row r="55" spans="2:29" ht="40.5" customHeight="1" thickBot="1">
      <c r="B55" s="707"/>
      <c r="C55" s="96"/>
      <c r="D55" s="96"/>
      <c r="E55" s="96"/>
      <c r="F55" s="96"/>
      <c r="G55" s="96"/>
      <c r="H55" s="96"/>
      <c r="I55" s="536"/>
      <c r="J55" s="96"/>
      <c r="K55" s="96"/>
      <c r="L55" s="96"/>
      <c r="M55" s="96"/>
      <c r="N55" s="96"/>
      <c r="O55" s="96"/>
      <c r="P55" s="96"/>
      <c r="Q55" s="96"/>
      <c r="R55" s="96"/>
      <c r="S55" s="96"/>
      <c r="T55" s="96"/>
      <c r="U55" s="96"/>
      <c r="V55" s="96"/>
      <c r="W55" s="96"/>
      <c r="X55" s="96"/>
      <c r="Y55" s="96"/>
      <c r="Z55" s="96"/>
      <c r="AA55" s="96"/>
      <c r="AB55" s="96"/>
      <c r="AC55" s="96"/>
    </row>
    <row r="56" spans="2:29" ht="68.25" customHeight="1" thickBot="1">
      <c r="B56" s="195" t="s">
        <v>175</v>
      </c>
      <c r="C56" s="140"/>
      <c r="D56" s="140"/>
      <c r="E56" s="140"/>
      <c r="F56" s="140"/>
      <c r="G56" s="140"/>
      <c r="H56" s="141"/>
      <c r="I56" s="592"/>
      <c r="J56" s="130">
        <v>0</v>
      </c>
      <c r="K56" s="130">
        <v>56701</v>
      </c>
      <c r="L56" s="130">
        <v>83</v>
      </c>
      <c r="M56" s="130">
        <v>9485</v>
      </c>
      <c r="N56" s="142">
        <v>-10938</v>
      </c>
      <c r="O56" s="130">
        <v>-457691</v>
      </c>
      <c r="P56" s="142">
        <v>-377160</v>
      </c>
      <c r="Q56" s="130">
        <v>-19947</v>
      </c>
      <c r="R56" s="130">
        <v>359931</v>
      </c>
      <c r="S56" s="130">
        <v>372910</v>
      </c>
      <c r="T56" s="130">
        <v>-14617</v>
      </c>
      <c r="U56" s="130">
        <v>44082</v>
      </c>
      <c r="V56" s="130">
        <v>66458</v>
      </c>
      <c r="W56" s="130">
        <v>0</v>
      </c>
      <c r="X56" s="130">
        <v>0</v>
      </c>
      <c r="Y56" s="130">
        <v>-30000</v>
      </c>
      <c r="Z56" s="130">
        <v>703.32949181576259</v>
      </c>
      <c r="AA56" s="141"/>
      <c r="AB56" s="141"/>
      <c r="AC56" s="141"/>
    </row>
    <row r="57" spans="2:29" ht="36" customHeight="1" thickBot="1">
      <c r="B57" s="96"/>
      <c r="C57" s="96"/>
      <c r="D57" s="96"/>
      <c r="E57" s="96"/>
      <c r="F57" s="96"/>
      <c r="G57" s="96"/>
      <c r="H57" s="96"/>
      <c r="I57" s="536"/>
      <c r="J57" s="703"/>
      <c r="K57" s="703"/>
      <c r="L57" s="703"/>
      <c r="M57" s="703"/>
      <c r="N57" s="703"/>
      <c r="O57" s="703"/>
      <c r="P57" s="703"/>
      <c r="Q57" s="703"/>
      <c r="R57" s="703"/>
      <c r="S57" s="703"/>
      <c r="T57" s="703"/>
      <c r="U57" s="703"/>
      <c r="V57" s="703"/>
      <c r="W57" s="703"/>
      <c r="X57" s="703"/>
      <c r="Y57" s="703"/>
      <c r="Z57" s="703"/>
      <c r="AA57" s="90"/>
      <c r="AB57" s="90"/>
      <c r="AC57" s="90"/>
    </row>
    <row r="58" spans="2:29" s="19" customFormat="1" ht="76.5">
      <c r="B58" s="196" t="s">
        <v>176</v>
      </c>
      <c r="C58" s="708" t="s">
        <v>177</v>
      </c>
      <c r="D58" s="143"/>
      <c r="E58" s="143"/>
      <c r="F58" s="143"/>
      <c r="G58" s="143"/>
      <c r="H58" s="112" t="s">
        <v>178</v>
      </c>
      <c r="I58" s="593" t="s">
        <v>179</v>
      </c>
      <c r="J58" s="133"/>
      <c r="K58" s="133"/>
      <c r="L58" s="133"/>
      <c r="M58" s="133"/>
      <c r="N58" s="144"/>
      <c r="O58" s="133"/>
      <c r="P58" s="144"/>
      <c r="Q58" s="133"/>
      <c r="R58" s="133"/>
      <c r="S58" s="133"/>
      <c r="T58" s="133"/>
      <c r="U58" s="133"/>
      <c r="V58" s="133"/>
      <c r="W58" s="133"/>
      <c r="X58" s="133"/>
      <c r="Y58" s="133"/>
      <c r="Z58" s="703"/>
      <c r="AA58" s="544"/>
      <c r="AB58" s="544"/>
      <c r="AC58" s="545" t="s">
        <v>180</v>
      </c>
    </row>
    <row r="59" spans="2:29" ht="30">
      <c r="B59" s="184" t="s">
        <v>65</v>
      </c>
      <c r="C59" s="114" t="s">
        <v>181</v>
      </c>
      <c r="D59" s="115"/>
      <c r="E59" s="114"/>
      <c r="F59" s="114"/>
      <c r="G59" s="114"/>
      <c r="H59" s="145"/>
      <c r="I59" s="594"/>
      <c r="J59" s="135"/>
      <c r="K59" s="135"/>
      <c r="L59" s="135"/>
      <c r="M59" s="135"/>
      <c r="N59" s="122"/>
      <c r="O59" s="135"/>
      <c r="P59" s="122"/>
      <c r="Q59" s="135"/>
      <c r="R59" s="135"/>
      <c r="S59" s="135"/>
      <c r="T59" s="135"/>
      <c r="U59" s="135"/>
      <c r="V59" s="135"/>
      <c r="W59" s="135"/>
      <c r="X59" s="135"/>
      <c r="Y59" s="135"/>
      <c r="Z59" s="703"/>
      <c r="AA59" s="558"/>
      <c r="AB59" s="558"/>
      <c r="AC59" s="559"/>
    </row>
    <row r="60" spans="2:29" ht="30">
      <c r="B60" s="197"/>
      <c r="C60" s="709" t="s">
        <v>66</v>
      </c>
      <c r="D60" s="115" t="s">
        <v>182</v>
      </c>
      <c r="E60" s="115"/>
      <c r="F60" s="115"/>
      <c r="G60" s="115"/>
      <c r="H60" s="146" t="s">
        <v>183</v>
      </c>
      <c r="I60" s="595"/>
      <c r="J60" s="135"/>
      <c r="K60" s="135"/>
      <c r="L60" s="135"/>
      <c r="M60" s="135"/>
      <c r="N60" s="122"/>
      <c r="O60" s="135"/>
      <c r="P60" s="122"/>
      <c r="Q60" s="135"/>
      <c r="R60" s="135"/>
      <c r="S60" s="135"/>
      <c r="T60" s="135"/>
      <c r="U60" s="135"/>
      <c r="V60" s="135"/>
      <c r="W60" s="135"/>
      <c r="X60" s="135"/>
      <c r="Y60" s="135"/>
      <c r="Z60" s="703"/>
      <c r="AA60" s="546"/>
      <c r="AB60" s="546"/>
      <c r="AC60" s="547"/>
    </row>
    <row r="61" spans="2:29" s="20" customFormat="1" ht="76.5">
      <c r="B61" s="198"/>
      <c r="C61" s="199"/>
      <c r="D61" s="200" t="s">
        <v>84</v>
      </c>
      <c r="E61" s="147" t="s">
        <v>184</v>
      </c>
      <c r="F61" s="147"/>
      <c r="G61" s="147"/>
      <c r="H61" s="148" t="s">
        <v>185</v>
      </c>
      <c r="I61" s="596"/>
      <c r="J61" s="149">
        <v>440000</v>
      </c>
      <c r="K61" s="567">
        <v>440000</v>
      </c>
      <c r="L61" s="567">
        <v>0</v>
      </c>
      <c r="M61" s="567">
        <v>0</v>
      </c>
      <c r="N61" s="150">
        <v>0</v>
      </c>
      <c r="O61" s="150">
        <v>0</v>
      </c>
      <c r="P61" s="150">
        <v>0</v>
      </c>
      <c r="Q61" s="151">
        <v>0</v>
      </c>
      <c r="R61" s="151">
        <v>0</v>
      </c>
      <c r="S61" s="151">
        <v>0</v>
      </c>
      <c r="T61" s="151">
        <v>0</v>
      </c>
      <c r="U61" s="151">
        <v>0</v>
      </c>
      <c r="V61" s="151">
        <v>0</v>
      </c>
      <c r="W61" s="151">
        <v>0</v>
      </c>
      <c r="X61" s="151">
        <v>0</v>
      </c>
      <c r="Y61" s="151">
        <v>0</v>
      </c>
      <c r="Z61" s="710"/>
      <c r="AA61" s="548" t="s">
        <v>186</v>
      </c>
      <c r="AB61" s="548" t="s">
        <v>71</v>
      </c>
      <c r="AC61" s="549" t="s">
        <v>187</v>
      </c>
    </row>
    <row r="62" spans="2:29" s="20" customFormat="1" ht="51">
      <c r="B62" s="198"/>
      <c r="C62" s="199"/>
      <c r="D62" s="199" t="s">
        <v>100</v>
      </c>
      <c r="E62" s="152" t="s">
        <v>188</v>
      </c>
      <c r="F62" s="152"/>
      <c r="G62" s="152"/>
      <c r="H62" s="153" t="s">
        <v>189</v>
      </c>
      <c r="I62" s="596"/>
      <c r="J62" s="154"/>
      <c r="K62" s="120"/>
      <c r="L62" s="120"/>
      <c r="M62" s="120"/>
      <c r="N62" s="121"/>
      <c r="O62" s="120"/>
      <c r="P62" s="121"/>
      <c r="Q62" s="120"/>
      <c r="R62" s="120"/>
      <c r="S62" s="120"/>
      <c r="T62" s="120"/>
      <c r="U62" s="120"/>
      <c r="V62" s="120"/>
      <c r="W62" s="120"/>
      <c r="X62" s="120"/>
      <c r="Y62" s="120"/>
      <c r="Z62" s="703"/>
      <c r="AA62" s="550" t="s">
        <v>190</v>
      </c>
      <c r="AB62" s="550" t="s">
        <v>71</v>
      </c>
      <c r="AC62" s="547"/>
    </row>
    <row r="63" spans="2:29" s="20" customFormat="1" ht="51">
      <c r="B63" s="198"/>
      <c r="C63" s="199"/>
      <c r="D63" s="178"/>
      <c r="E63" s="155" t="s">
        <v>87</v>
      </c>
      <c r="F63" s="155" t="s">
        <v>191</v>
      </c>
      <c r="G63" s="155"/>
      <c r="H63" s="156" t="s">
        <v>192</v>
      </c>
      <c r="I63" s="596"/>
      <c r="J63" s="157">
        <v>0</v>
      </c>
      <c r="K63" s="158">
        <v>0</v>
      </c>
      <c r="L63" s="158">
        <v>0</v>
      </c>
      <c r="M63" s="158">
        <v>0</v>
      </c>
      <c r="N63" s="158">
        <v>0</v>
      </c>
      <c r="O63" s="158">
        <v>0</v>
      </c>
      <c r="P63" s="158">
        <v>0</v>
      </c>
      <c r="Q63" s="159">
        <v>0</v>
      </c>
      <c r="R63" s="159">
        <v>0</v>
      </c>
      <c r="S63" s="159">
        <v>0</v>
      </c>
      <c r="T63" s="159">
        <v>0</v>
      </c>
      <c r="U63" s="159">
        <v>0</v>
      </c>
      <c r="V63" s="159">
        <v>0</v>
      </c>
      <c r="W63" s="159">
        <v>0</v>
      </c>
      <c r="X63" s="159">
        <v>0</v>
      </c>
      <c r="Y63" s="159">
        <v>0</v>
      </c>
      <c r="Z63" s="710"/>
      <c r="AA63" s="551" t="s">
        <v>190</v>
      </c>
      <c r="AB63" s="551" t="s">
        <v>71</v>
      </c>
      <c r="AC63" s="552"/>
    </row>
    <row r="64" spans="2:29" s="20" customFormat="1" ht="51">
      <c r="B64" s="198"/>
      <c r="C64" s="199"/>
      <c r="D64" s="178"/>
      <c r="E64" s="155" t="s">
        <v>90</v>
      </c>
      <c r="F64" s="155" t="s">
        <v>193</v>
      </c>
      <c r="G64" s="155"/>
      <c r="H64" s="156" t="s">
        <v>194</v>
      </c>
      <c r="I64" s="597"/>
      <c r="J64" s="157">
        <v>0</v>
      </c>
      <c r="K64" s="158">
        <v>0</v>
      </c>
      <c r="L64" s="158">
        <v>0</v>
      </c>
      <c r="M64" s="158">
        <v>0</v>
      </c>
      <c r="N64" s="158">
        <v>0</v>
      </c>
      <c r="O64" s="158">
        <v>0</v>
      </c>
      <c r="P64" s="158">
        <v>0</v>
      </c>
      <c r="Q64" s="159">
        <v>0</v>
      </c>
      <c r="R64" s="159">
        <v>0</v>
      </c>
      <c r="S64" s="159">
        <v>0</v>
      </c>
      <c r="T64" s="159">
        <v>0</v>
      </c>
      <c r="U64" s="159">
        <v>0</v>
      </c>
      <c r="V64" s="159">
        <v>0</v>
      </c>
      <c r="W64" s="159">
        <v>0</v>
      </c>
      <c r="X64" s="159">
        <v>0</v>
      </c>
      <c r="Y64" s="159">
        <v>0</v>
      </c>
      <c r="Z64" s="710"/>
      <c r="AA64" s="551" t="s">
        <v>190</v>
      </c>
      <c r="AB64" s="551" t="s">
        <v>71</v>
      </c>
      <c r="AC64" s="552"/>
    </row>
    <row r="65" spans="2:29" s="20" customFormat="1" ht="30">
      <c r="B65" s="198"/>
      <c r="C65" s="199"/>
      <c r="D65" s="199" t="s">
        <v>137</v>
      </c>
      <c r="E65" s="152" t="s">
        <v>101</v>
      </c>
      <c r="F65" s="152"/>
      <c r="G65" s="152"/>
      <c r="H65" s="153" t="s">
        <v>159</v>
      </c>
      <c r="I65" s="596"/>
      <c r="J65" s="160">
        <v>0</v>
      </c>
      <c r="K65" s="120">
        <v>0</v>
      </c>
      <c r="L65" s="120">
        <v>0</v>
      </c>
      <c r="M65" s="120">
        <v>0</v>
      </c>
      <c r="N65" s="121">
        <v>0</v>
      </c>
      <c r="O65" s="120">
        <v>0</v>
      </c>
      <c r="P65" s="121">
        <v>0</v>
      </c>
      <c r="Q65" s="120">
        <v>0</v>
      </c>
      <c r="R65" s="120">
        <v>0</v>
      </c>
      <c r="S65" s="120">
        <v>0</v>
      </c>
      <c r="T65" s="120">
        <v>0</v>
      </c>
      <c r="U65" s="120">
        <v>0</v>
      </c>
      <c r="V65" s="120">
        <v>0</v>
      </c>
      <c r="W65" s="120">
        <v>0</v>
      </c>
      <c r="X65" s="120">
        <v>0</v>
      </c>
      <c r="Y65" s="120">
        <v>0</v>
      </c>
      <c r="Z65" s="703"/>
      <c r="AA65" s="546" t="s">
        <v>195</v>
      </c>
      <c r="AB65" s="546"/>
      <c r="AC65" s="547" t="s">
        <v>195</v>
      </c>
    </row>
    <row r="66" spans="2:29" s="20" customFormat="1" ht="51.75" thickBot="1">
      <c r="B66" s="198"/>
      <c r="C66" s="201" t="s">
        <v>73</v>
      </c>
      <c r="D66" s="161" t="s">
        <v>196</v>
      </c>
      <c r="E66" s="161"/>
      <c r="F66" s="161"/>
      <c r="G66" s="161"/>
      <c r="H66" s="162" t="s">
        <v>197</v>
      </c>
      <c r="I66" s="596"/>
      <c r="J66" s="163">
        <v>0</v>
      </c>
      <c r="K66" s="164">
        <v>0</v>
      </c>
      <c r="L66" s="164">
        <v>0</v>
      </c>
      <c r="M66" s="164">
        <v>0</v>
      </c>
      <c r="N66" s="164">
        <v>0</v>
      </c>
      <c r="O66" s="164">
        <v>0</v>
      </c>
      <c r="P66" s="164">
        <v>0</v>
      </c>
      <c r="Q66" s="165">
        <v>0</v>
      </c>
      <c r="R66" s="165">
        <v>0</v>
      </c>
      <c r="S66" s="165">
        <v>0</v>
      </c>
      <c r="T66" s="165">
        <v>0</v>
      </c>
      <c r="U66" s="165">
        <v>0</v>
      </c>
      <c r="V66" s="165">
        <v>0</v>
      </c>
      <c r="W66" s="165">
        <v>0</v>
      </c>
      <c r="X66" s="165">
        <v>0</v>
      </c>
      <c r="Y66" s="165">
        <v>0</v>
      </c>
      <c r="Z66" s="710"/>
      <c r="AA66" s="553" t="s">
        <v>198</v>
      </c>
      <c r="AB66" s="553" t="s">
        <v>71</v>
      </c>
      <c r="AC66" s="554" t="s">
        <v>199</v>
      </c>
    </row>
    <row r="67" spans="2:29" s="20" customFormat="1" ht="30.75" thickBot="1">
      <c r="B67" s="202" t="s">
        <v>200</v>
      </c>
      <c r="C67" s="166"/>
      <c r="D67" s="166"/>
      <c r="E67" s="166"/>
      <c r="F67" s="166"/>
      <c r="G67" s="166"/>
      <c r="H67" s="167"/>
      <c r="I67" s="598"/>
      <c r="J67" s="711">
        <v>440000</v>
      </c>
      <c r="K67" s="130">
        <v>440000</v>
      </c>
      <c r="L67" s="130">
        <v>0</v>
      </c>
      <c r="M67" s="130">
        <v>0</v>
      </c>
      <c r="N67" s="142">
        <v>0</v>
      </c>
      <c r="O67" s="130">
        <v>0</v>
      </c>
      <c r="P67" s="142">
        <v>0</v>
      </c>
      <c r="Q67" s="130">
        <v>0</v>
      </c>
      <c r="R67" s="130">
        <v>0</v>
      </c>
      <c r="S67" s="130">
        <v>0</v>
      </c>
      <c r="T67" s="130">
        <v>0</v>
      </c>
      <c r="U67" s="130">
        <v>0</v>
      </c>
      <c r="V67" s="130">
        <v>0</v>
      </c>
      <c r="W67" s="130">
        <v>0</v>
      </c>
      <c r="X67" s="130">
        <v>0</v>
      </c>
      <c r="Y67" s="130">
        <v>0</v>
      </c>
      <c r="Z67" s="712"/>
      <c r="AA67" s="555"/>
      <c r="AB67" s="555"/>
      <c r="AC67" s="556"/>
    </row>
    <row r="68" spans="2:29" s="20" customFormat="1" ht="30.75" thickBot="1">
      <c r="B68" s="203"/>
      <c r="C68" s="204"/>
      <c r="D68" s="204"/>
      <c r="E68" s="168"/>
      <c r="F68" s="168"/>
      <c r="G68" s="168"/>
      <c r="H68" s="713"/>
      <c r="I68" s="714"/>
      <c r="J68" s="169"/>
      <c r="K68" s="169"/>
      <c r="L68" s="169"/>
      <c r="M68" s="169"/>
      <c r="N68" s="170"/>
      <c r="O68" s="169"/>
      <c r="P68" s="170"/>
      <c r="Q68" s="169"/>
      <c r="R68" s="169"/>
      <c r="S68" s="169"/>
      <c r="T68" s="169"/>
      <c r="U68" s="169"/>
      <c r="V68" s="169"/>
      <c r="W68" s="169"/>
      <c r="X68" s="169"/>
      <c r="Y68" s="169"/>
      <c r="Z68" s="703"/>
      <c r="AA68" s="740"/>
      <c r="AB68" s="740"/>
      <c r="AC68" s="557"/>
    </row>
    <row r="69" spans="2:29" s="20" customFormat="1" ht="30">
      <c r="B69" s="205" t="s">
        <v>128</v>
      </c>
      <c r="C69" s="171" t="s">
        <v>201</v>
      </c>
      <c r="D69" s="152"/>
      <c r="E69" s="171"/>
      <c r="F69" s="171"/>
      <c r="G69" s="171"/>
      <c r="H69" s="172"/>
      <c r="I69" s="599"/>
      <c r="J69" s="173"/>
      <c r="K69" s="173"/>
      <c r="L69" s="173"/>
      <c r="M69" s="173"/>
      <c r="N69" s="174"/>
      <c r="O69" s="173"/>
      <c r="P69" s="174"/>
      <c r="Q69" s="173"/>
      <c r="R69" s="173"/>
      <c r="S69" s="173"/>
      <c r="T69" s="173"/>
      <c r="U69" s="173"/>
      <c r="V69" s="173"/>
      <c r="W69" s="173"/>
      <c r="X69" s="173"/>
      <c r="Y69" s="173"/>
      <c r="Z69" s="703"/>
      <c r="AA69" s="558"/>
      <c r="AB69" s="558"/>
      <c r="AC69" s="559"/>
    </row>
    <row r="70" spans="2:29" s="20" customFormat="1" ht="30">
      <c r="B70" s="198"/>
      <c r="C70" s="201" t="s">
        <v>66</v>
      </c>
      <c r="D70" s="152" t="s">
        <v>182</v>
      </c>
      <c r="E70" s="152"/>
      <c r="F70" s="152"/>
      <c r="G70" s="152"/>
      <c r="H70" s="146" t="s">
        <v>183</v>
      </c>
      <c r="I70" s="600"/>
      <c r="J70" s="173"/>
      <c r="K70" s="173"/>
      <c r="L70" s="173"/>
      <c r="M70" s="173"/>
      <c r="N70" s="174"/>
      <c r="O70" s="173"/>
      <c r="P70" s="174"/>
      <c r="Q70" s="173"/>
      <c r="R70" s="173"/>
      <c r="S70" s="173"/>
      <c r="T70" s="173"/>
      <c r="U70" s="173"/>
      <c r="V70" s="173"/>
      <c r="W70" s="173"/>
      <c r="X70" s="173"/>
      <c r="Y70" s="173"/>
      <c r="Z70" s="703"/>
      <c r="AA70" s="558"/>
      <c r="AB70" s="558"/>
      <c r="AC70" s="559"/>
    </row>
    <row r="71" spans="2:29" s="20" customFormat="1" ht="76.5">
      <c r="B71" s="198"/>
      <c r="C71" s="152"/>
      <c r="D71" s="200" t="s">
        <v>84</v>
      </c>
      <c r="E71" s="147" t="s">
        <v>202</v>
      </c>
      <c r="F71" s="147"/>
      <c r="G71" s="147"/>
      <c r="H71" s="148" t="s">
        <v>185</v>
      </c>
      <c r="I71" s="601"/>
      <c r="J71" s="149">
        <v>145890.60574696169</v>
      </c>
      <c r="K71" s="220">
        <v>30666.15879696171</v>
      </c>
      <c r="L71" s="220">
        <v>0</v>
      </c>
      <c r="M71" s="220">
        <v>10000</v>
      </c>
      <c r="N71" s="221">
        <v>40964.220799999996</v>
      </c>
      <c r="O71" s="220">
        <v>54260.226149999995</v>
      </c>
      <c r="P71" s="221">
        <v>10000</v>
      </c>
      <c r="Q71" s="220">
        <v>0</v>
      </c>
      <c r="R71" s="220">
        <v>0</v>
      </c>
      <c r="S71" s="220">
        <v>0</v>
      </c>
      <c r="T71" s="220">
        <v>0</v>
      </c>
      <c r="U71" s="220">
        <v>0</v>
      </c>
      <c r="V71" s="220">
        <v>0</v>
      </c>
      <c r="W71" s="220">
        <v>0</v>
      </c>
      <c r="X71" s="220">
        <v>0</v>
      </c>
      <c r="Y71" s="220">
        <v>0</v>
      </c>
      <c r="Z71" s="710"/>
      <c r="AA71" s="548" t="s">
        <v>186</v>
      </c>
      <c r="AB71" s="548" t="s">
        <v>71</v>
      </c>
      <c r="AC71" s="549" t="s">
        <v>203</v>
      </c>
    </row>
    <row r="72" spans="2:29" s="20" customFormat="1" ht="51">
      <c r="B72" s="198"/>
      <c r="C72" s="152"/>
      <c r="D72" s="206" t="s">
        <v>100</v>
      </c>
      <c r="E72" s="175" t="s">
        <v>204</v>
      </c>
      <c r="F72" s="175"/>
      <c r="G72" s="175"/>
      <c r="H72" s="176" t="s">
        <v>205</v>
      </c>
      <c r="I72" s="601"/>
      <c r="J72" s="177">
        <v>82276</v>
      </c>
      <c r="K72" s="534">
        <v>4176.5164600000007</v>
      </c>
      <c r="L72" s="534">
        <v>76072.5</v>
      </c>
      <c r="M72" s="534">
        <v>0</v>
      </c>
      <c r="N72" s="534">
        <v>2026.75</v>
      </c>
      <c r="O72" s="534">
        <v>0</v>
      </c>
      <c r="P72" s="534">
        <v>0</v>
      </c>
      <c r="Q72" s="534">
        <v>0</v>
      </c>
      <c r="R72" s="534">
        <v>0</v>
      </c>
      <c r="S72" s="602">
        <v>0</v>
      </c>
      <c r="T72" s="602">
        <v>0</v>
      </c>
      <c r="U72" s="602">
        <v>0</v>
      </c>
      <c r="V72" s="602">
        <v>0</v>
      </c>
      <c r="W72" s="602">
        <v>0</v>
      </c>
      <c r="X72" s="602">
        <v>0</v>
      </c>
      <c r="Y72" s="602">
        <v>0</v>
      </c>
      <c r="Z72" s="710"/>
      <c r="AA72" s="560" t="s">
        <v>206</v>
      </c>
      <c r="AB72" s="560" t="s">
        <v>71</v>
      </c>
      <c r="AC72" s="561" t="s">
        <v>207</v>
      </c>
    </row>
    <row r="73" spans="2:29" s="20" customFormat="1" ht="30">
      <c r="B73" s="198"/>
      <c r="C73" s="152"/>
      <c r="D73" s="199" t="s">
        <v>137</v>
      </c>
      <c r="E73" s="152" t="s">
        <v>208</v>
      </c>
      <c r="F73" s="152"/>
      <c r="G73" s="152"/>
      <c r="H73" s="153" t="s">
        <v>209</v>
      </c>
      <c r="I73" s="600"/>
      <c r="J73" s="154"/>
      <c r="K73" s="120"/>
      <c r="L73" s="120"/>
      <c r="M73" s="120"/>
      <c r="N73" s="121"/>
      <c r="O73" s="120"/>
      <c r="P73" s="121"/>
      <c r="Q73" s="120"/>
      <c r="R73" s="120"/>
      <c r="S73" s="120"/>
      <c r="T73" s="120"/>
      <c r="U73" s="120"/>
      <c r="V73" s="120"/>
      <c r="W73" s="120"/>
      <c r="X73" s="120"/>
      <c r="Y73" s="120"/>
      <c r="Z73" s="703"/>
      <c r="AA73" s="550" t="s">
        <v>190</v>
      </c>
      <c r="AB73" s="550"/>
      <c r="AC73" s="547"/>
    </row>
    <row r="74" spans="2:29" s="20" customFormat="1" ht="51">
      <c r="B74" s="198"/>
      <c r="C74" s="199"/>
      <c r="D74" s="199"/>
      <c r="E74" s="178" t="s">
        <v>87</v>
      </c>
      <c r="F74" s="155" t="s">
        <v>191</v>
      </c>
      <c r="G74" s="155"/>
      <c r="H74" s="156" t="s">
        <v>192</v>
      </c>
      <c r="I74" s="600"/>
      <c r="J74" s="157">
        <v>0</v>
      </c>
      <c r="K74" s="158">
        <v>0</v>
      </c>
      <c r="L74" s="158">
        <v>0</v>
      </c>
      <c r="M74" s="158">
        <v>0</v>
      </c>
      <c r="N74" s="158">
        <v>0</v>
      </c>
      <c r="O74" s="158">
        <v>0</v>
      </c>
      <c r="P74" s="158">
        <v>0</v>
      </c>
      <c r="Q74" s="159">
        <v>0</v>
      </c>
      <c r="R74" s="159">
        <v>0</v>
      </c>
      <c r="S74" s="159">
        <v>0</v>
      </c>
      <c r="T74" s="159">
        <v>0</v>
      </c>
      <c r="U74" s="159">
        <v>0</v>
      </c>
      <c r="V74" s="159">
        <v>0</v>
      </c>
      <c r="W74" s="159">
        <v>0</v>
      </c>
      <c r="X74" s="159">
        <v>0</v>
      </c>
      <c r="Y74" s="159">
        <v>0</v>
      </c>
      <c r="Z74" s="710"/>
      <c r="AA74" s="551" t="s">
        <v>190</v>
      </c>
      <c r="AB74" s="551" t="s">
        <v>71</v>
      </c>
      <c r="AC74" s="551"/>
    </row>
    <row r="75" spans="2:29" s="20" customFormat="1" ht="51">
      <c r="B75" s="198"/>
      <c r="C75" s="199"/>
      <c r="D75" s="199"/>
      <c r="E75" s="178" t="s">
        <v>90</v>
      </c>
      <c r="F75" s="155" t="s">
        <v>193</v>
      </c>
      <c r="G75" s="155"/>
      <c r="H75" s="156" t="s">
        <v>194</v>
      </c>
      <c r="I75" s="601"/>
      <c r="J75" s="157">
        <v>0</v>
      </c>
      <c r="K75" s="158">
        <v>0</v>
      </c>
      <c r="L75" s="158">
        <v>0</v>
      </c>
      <c r="M75" s="158">
        <v>0</v>
      </c>
      <c r="N75" s="158">
        <v>0</v>
      </c>
      <c r="O75" s="158">
        <v>0</v>
      </c>
      <c r="P75" s="158">
        <v>0</v>
      </c>
      <c r="Q75" s="159">
        <v>0</v>
      </c>
      <c r="R75" s="159">
        <v>0</v>
      </c>
      <c r="S75" s="159">
        <v>0</v>
      </c>
      <c r="T75" s="159">
        <v>0</v>
      </c>
      <c r="U75" s="159">
        <v>0</v>
      </c>
      <c r="V75" s="159">
        <v>0</v>
      </c>
      <c r="W75" s="159">
        <v>0</v>
      </c>
      <c r="X75" s="159">
        <v>0</v>
      </c>
      <c r="Y75" s="159">
        <v>0</v>
      </c>
      <c r="Z75" s="710"/>
      <c r="AA75" s="551" t="s">
        <v>190</v>
      </c>
      <c r="AB75" s="551" t="s">
        <v>71</v>
      </c>
      <c r="AC75" s="551"/>
    </row>
    <row r="76" spans="2:29" s="20" customFormat="1" ht="30">
      <c r="B76" s="198"/>
      <c r="C76" s="152"/>
      <c r="D76" s="199" t="s">
        <v>210</v>
      </c>
      <c r="E76" s="152" t="s">
        <v>101</v>
      </c>
      <c r="F76" s="152"/>
      <c r="G76" s="152"/>
      <c r="H76" s="153" t="s">
        <v>211</v>
      </c>
      <c r="I76" s="600"/>
      <c r="J76" s="154">
        <v>0</v>
      </c>
      <c r="K76" s="120">
        <v>0</v>
      </c>
      <c r="L76" s="120">
        <v>0</v>
      </c>
      <c r="M76" s="120">
        <v>0</v>
      </c>
      <c r="N76" s="121">
        <v>0</v>
      </c>
      <c r="O76" s="120">
        <v>0</v>
      </c>
      <c r="P76" s="121">
        <v>0</v>
      </c>
      <c r="Q76" s="120">
        <v>0</v>
      </c>
      <c r="R76" s="120">
        <v>0</v>
      </c>
      <c r="S76" s="120">
        <v>0</v>
      </c>
      <c r="T76" s="120">
        <v>0</v>
      </c>
      <c r="U76" s="120">
        <v>0</v>
      </c>
      <c r="V76" s="120">
        <v>0</v>
      </c>
      <c r="W76" s="120">
        <v>0</v>
      </c>
      <c r="X76" s="120">
        <v>0</v>
      </c>
      <c r="Y76" s="120">
        <v>0</v>
      </c>
      <c r="Z76" s="703"/>
      <c r="AA76" s="550" t="s">
        <v>195</v>
      </c>
      <c r="AB76" s="550"/>
      <c r="AC76" s="547"/>
    </row>
    <row r="77" spans="2:29" s="20" customFormat="1" ht="51.75" thickBot="1">
      <c r="B77" s="198"/>
      <c r="C77" s="201" t="s">
        <v>73</v>
      </c>
      <c r="D77" s="161" t="s">
        <v>212</v>
      </c>
      <c r="E77" s="161"/>
      <c r="F77" s="161"/>
      <c r="G77" s="161"/>
      <c r="H77" s="162" t="s">
        <v>213</v>
      </c>
      <c r="I77" s="600"/>
      <c r="J77" s="163">
        <v>0</v>
      </c>
      <c r="K77" s="164">
        <v>0</v>
      </c>
      <c r="L77" s="164">
        <v>0</v>
      </c>
      <c r="M77" s="164">
        <v>0</v>
      </c>
      <c r="N77" s="164">
        <v>0</v>
      </c>
      <c r="O77" s="164">
        <v>0</v>
      </c>
      <c r="P77" s="164">
        <v>0</v>
      </c>
      <c r="Q77" s="165">
        <v>0</v>
      </c>
      <c r="R77" s="165">
        <v>0</v>
      </c>
      <c r="S77" s="165">
        <v>0</v>
      </c>
      <c r="T77" s="165">
        <v>0</v>
      </c>
      <c r="U77" s="165">
        <v>0</v>
      </c>
      <c r="V77" s="165">
        <v>0</v>
      </c>
      <c r="W77" s="165">
        <v>0</v>
      </c>
      <c r="X77" s="165">
        <v>0</v>
      </c>
      <c r="Y77" s="165">
        <v>0</v>
      </c>
      <c r="Z77" s="710"/>
      <c r="AA77" s="553" t="s">
        <v>198</v>
      </c>
      <c r="AB77" s="553" t="s">
        <v>71</v>
      </c>
      <c r="AC77" s="554" t="s">
        <v>214</v>
      </c>
    </row>
    <row r="78" spans="2:29" ht="30.75" thickBot="1">
      <c r="B78" s="195" t="s">
        <v>215</v>
      </c>
      <c r="C78" s="140"/>
      <c r="D78" s="140"/>
      <c r="E78" s="140"/>
      <c r="F78" s="140"/>
      <c r="G78" s="140"/>
      <c r="H78" s="141"/>
      <c r="I78" s="592"/>
      <c r="J78" s="130">
        <v>228167</v>
      </c>
      <c r="K78" s="130">
        <v>34843</v>
      </c>
      <c r="L78" s="130">
        <v>76073</v>
      </c>
      <c r="M78" s="130">
        <v>10000</v>
      </c>
      <c r="N78" s="130">
        <v>42991</v>
      </c>
      <c r="O78" s="130">
        <v>54260</v>
      </c>
      <c r="P78" s="130">
        <v>10000</v>
      </c>
      <c r="Q78" s="130">
        <v>0</v>
      </c>
      <c r="R78" s="130">
        <v>0</v>
      </c>
      <c r="S78" s="130">
        <v>0</v>
      </c>
      <c r="T78" s="130">
        <v>0</v>
      </c>
      <c r="U78" s="130">
        <v>0</v>
      </c>
      <c r="V78" s="130">
        <v>0</v>
      </c>
      <c r="W78" s="130">
        <v>0</v>
      </c>
      <c r="X78" s="130">
        <v>0</v>
      </c>
      <c r="Y78" s="130">
        <v>0</v>
      </c>
      <c r="Z78" s="712"/>
      <c r="AA78" s="562"/>
      <c r="AB78" s="562"/>
      <c r="AC78" s="563"/>
    </row>
    <row r="79" spans="2:29" ht="30" customHeight="1" thickBot="1">
      <c r="B79" s="715"/>
      <c r="C79" s="96"/>
      <c r="D79" s="96"/>
      <c r="E79" s="96"/>
      <c r="F79" s="96"/>
      <c r="G79" s="96"/>
      <c r="H79" s="96"/>
      <c r="I79" s="536"/>
      <c r="J79" s="179"/>
      <c r="K79" s="180"/>
      <c r="L79" s="180"/>
      <c r="M79" s="180"/>
      <c r="N79" s="716"/>
      <c r="O79" s="180"/>
      <c r="P79" s="716"/>
      <c r="Q79" s="180"/>
      <c r="R79" s="180"/>
      <c r="S79" s="180"/>
      <c r="T79" s="180"/>
      <c r="U79" s="180"/>
      <c r="V79" s="180"/>
      <c r="W79" s="180"/>
      <c r="X79" s="180"/>
      <c r="Y79" s="180"/>
      <c r="Z79" s="703"/>
      <c r="AA79" s="564"/>
      <c r="AB79" s="564"/>
      <c r="AC79" s="565"/>
    </row>
    <row r="80" spans="2:29" ht="30.75" thickBot="1">
      <c r="B80" s="195" t="s">
        <v>216</v>
      </c>
      <c r="C80" s="140"/>
      <c r="D80" s="140"/>
      <c r="E80" s="140"/>
      <c r="F80" s="140"/>
      <c r="G80" s="140"/>
      <c r="H80" s="141"/>
      <c r="I80" s="592"/>
      <c r="J80" s="130">
        <v>211833</v>
      </c>
      <c r="K80" s="130">
        <v>405157</v>
      </c>
      <c r="L80" s="130">
        <v>-76073</v>
      </c>
      <c r="M80" s="130">
        <v>-10000</v>
      </c>
      <c r="N80" s="142">
        <v>-42991</v>
      </c>
      <c r="O80" s="130">
        <v>-54260</v>
      </c>
      <c r="P80" s="142">
        <v>-10000</v>
      </c>
      <c r="Q80" s="130">
        <v>0</v>
      </c>
      <c r="R80" s="130">
        <v>0</v>
      </c>
      <c r="S80" s="130">
        <v>0</v>
      </c>
      <c r="T80" s="130">
        <v>0</v>
      </c>
      <c r="U80" s="130">
        <v>0</v>
      </c>
      <c r="V80" s="130">
        <v>0</v>
      </c>
      <c r="W80" s="130">
        <v>0</v>
      </c>
      <c r="X80" s="130">
        <v>0</v>
      </c>
      <c r="Y80" s="130">
        <v>0</v>
      </c>
      <c r="Z80" s="712"/>
      <c r="AA80" s="562"/>
      <c r="AB80" s="562"/>
      <c r="AC80" s="563"/>
    </row>
    <row r="81" spans="2:29" ht="30.75" thickBot="1">
      <c r="B81" s="207"/>
      <c r="C81" s="717"/>
      <c r="D81" s="717"/>
      <c r="E81" s="96"/>
      <c r="F81" s="96"/>
      <c r="G81" s="96"/>
      <c r="H81" s="96"/>
      <c r="I81" s="536"/>
      <c r="J81" s="179"/>
      <c r="K81" s="180"/>
      <c r="L81" s="180"/>
      <c r="M81" s="180"/>
      <c r="N81" s="716"/>
      <c r="O81" s="180"/>
      <c r="P81" s="716"/>
      <c r="Q81" s="716"/>
      <c r="R81" s="716"/>
      <c r="S81" s="716"/>
      <c r="T81" s="716"/>
      <c r="U81" s="716"/>
      <c r="V81" s="716"/>
      <c r="W81" s="716"/>
      <c r="X81" s="716"/>
      <c r="Y81" s="716"/>
      <c r="Z81" s="703"/>
      <c r="AA81" s="564"/>
      <c r="AB81" s="564"/>
      <c r="AC81" s="565"/>
    </row>
    <row r="82" spans="2:29" s="19" customFormat="1" ht="30.75" thickBot="1">
      <c r="B82" s="195" t="s">
        <v>217</v>
      </c>
      <c r="C82" s="140"/>
      <c r="D82" s="140"/>
      <c r="E82" s="140"/>
      <c r="F82" s="140"/>
      <c r="G82" s="140"/>
      <c r="H82" s="141"/>
      <c r="I82" s="592"/>
      <c r="J82" s="130">
        <v>211833</v>
      </c>
      <c r="K82" s="130">
        <v>461858</v>
      </c>
      <c r="L82" s="130">
        <v>-75990</v>
      </c>
      <c r="M82" s="130">
        <v>-515</v>
      </c>
      <c r="N82" s="142">
        <v>-53929</v>
      </c>
      <c r="O82" s="130">
        <v>-511951</v>
      </c>
      <c r="P82" s="142">
        <v>-387160</v>
      </c>
      <c r="Q82" s="130">
        <v>-19947</v>
      </c>
      <c r="R82" s="130">
        <v>359931</v>
      </c>
      <c r="S82" s="130">
        <v>372910</v>
      </c>
      <c r="T82" s="130">
        <v>-14617</v>
      </c>
      <c r="U82" s="130">
        <v>44082</v>
      </c>
      <c r="V82" s="130">
        <v>66458</v>
      </c>
      <c r="W82" s="130">
        <v>0</v>
      </c>
      <c r="X82" s="130">
        <v>0</v>
      </c>
      <c r="Y82" s="130">
        <v>-30000</v>
      </c>
      <c r="Z82" s="712"/>
      <c r="AA82" s="562"/>
      <c r="AB82" s="562"/>
      <c r="AC82" s="563"/>
    </row>
    <row r="83" spans="2:29" s="19" customFormat="1" ht="34.5" customHeight="1" thickBot="1">
      <c r="B83" s="718"/>
      <c r="C83" s="719"/>
      <c r="D83" s="719"/>
      <c r="E83" s="719"/>
      <c r="F83" s="719"/>
      <c r="G83" s="719"/>
      <c r="H83" s="719"/>
      <c r="I83" s="603"/>
      <c r="J83" s="711"/>
      <c r="K83" s="720"/>
      <c r="L83" s="720"/>
      <c r="M83" s="720"/>
      <c r="N83" s="721"/>
      <c r="O83" s="720"/>
      <c r="P83" s="721"/>
      <c r="Q83" s="716"/>
      <c r="R83" s="716"/>
      <c r="S83" s="716"/>
      <c r="T83" s="716"/>
      <c r="U83" s="716"/>
      <c r="V83" s="716"/>
      <c r="W83" s="716"/>
      <c r="X83" s="716"/>
      <c r="Y83" s="716"/>
      <c r="Z83" s="703"/>
      <c r="AA83" s="741"/>
      <c r="AB83" s="741"/>
      <c r="AC83" s="742"/>
    </row>
    <row r="84" spans="2:29" ht="30.75" thickBot="1">
      <c r="B84" s="195" t="s">
        <v>218</v>
      </c>
      <c r="C84" s="140"/>
      <c r="D84" s="140"/>
      <c r="E84" s="140"/>
      <c r="F84" s="140"/>
      <c r="G84" s="181"/>
      <c r="H84" s="182"/>
      <c r="I84" s="604"/>
      <c r="J84" s="130"/>
      <c r="K84" s="568">
        <v>461858</v>
      </c>
      <c r="L84" s="568">
        <v>385868</v>
      </c>
      <c r="M84" s="568">
        <v>385353</v>
      </c>
      <c r="N84" s="130">
        <v>331424</v>
      </c>
      <c r="O84" s="130">
        <v>-180527</v>
      </c>
      <c r="P84" s="130">
        <v>-567687</v>
      </c>
      <c r="Q84" s="130">
        <v>-587634</v>
      </c>
      <c r="R84" s="130">
        <v>-227703</v>
      </c>
      <c r="S84" s="130">
        <v>145207</v>
      </c>
      <c r="T84" s="130">
        <v>130590</v>
      </c>
      <c r="U84" s="130">
        <v>174672</v>
      </c>
      <c r="V84" s="130">
        <v>241130</v>
      </c>
      <c r="W84" s="130">
        <v>241130</v>
      </c>
      <c r="X84" s="130">
        <v>241130</v>
      </c>
      <c r="Y84" s="130">
        <v>211130</v>
      </c>
      <c r="Z84" s="712"/>
      <c r="AA84" s="562"/>
      <c r="AB84" s="562"/>
      <c r="AC84" s="563"/>
    </row>
    <row r="85" spans="2:29" ht="30.75" thickBot="1">
      <c r="B85" s="214"/>
      <c r="C85" s="215"/>
      <c r="D85" s="215"/>
      <c r="E85" s="215"/>
      <c r="F85" s="215"/>
      <c r="G85" s="215"/>
      <c r="H85" s="215"/>
      <c r="I85" s="605"/>
      <c r="J85" s="216"/>
      <c r="K85" s="216"/>
      <c r="L85" s="216"/>
      <c r="M85" s="216"/>
      <c r="N85" s="217"/>
      <c r="O85" s="216"/>
      <c r="P85" s="217"/>
      <c r="Q85" s="722"/>
      <c r="R85" s="722"/>
      <c r="S85" s="722"/>
      <c r="T85" s="722"/>
      <c r="U85" s="722"/>
      <c r="V85" s="722"/>
      <c r="W85" s="722"/>
      <c r="X85" s="722"/>
      <c r="Y85" s="722"/>
      <c r="Z85" s="722"/>
      <c r="AA85" s="566"/>
      <c r="AB85" s="566"/>
      <c r="AC85" s="216"/>
    </row>
    <row r="86" spans="2:29">
      <c r="AA86" s="90"/>
      <c r="AB86" s="90"/>
      <c r="AC86" s="90"/>
    </row>
    <row r="87" spans="2:29" ht="60" customHeight="1">
      <c r="B87" s="97" t="s">
        <v>219</v>
      </c>
      <c r="C87" s="98"/>
      <c r="D87" s="1216" t="s">
        <v>220</v>
      </c>
      <c r="E87" s="1216"/>
      <c r="F87" s="1216"/>
      <c r="G87" s="1216"/>
      <c r="H87" s="1216"/>
      <c r="I87" s="1216"/>
      <c r="J87" s="1216"/>
      <c r="K87" s="1216"/>
      <c r="L87" s="1216"/>
      <c r="M87" s="1216"/>
      <c r="N87" s="1216"/>
      <c r="O87" s="1216"/>
      <c r="AA87" s="90"/>
      <c r="AB87" s="90"/>
      <c r="AC87" s="90"/>
    </row>
    <row r="88" spans="2:29" ht="30.75">
      <c r="B88" s="99" t="s">
        <v>221</v>
      </c>
      <c r="C88" s="98"/>
      <c r="D88" s="98" t="s">
        <v>222</v>
      </c>
      <c r="E88" s="98"/>
      <c r="F88" s="98"/>
      <c r="G88" s="98"/>
      <c r="H88" s="98"/>
      <c r="I88" s="606"/>
      <c r="AA88" s="90"/>
      <c r="AB88" s="90"/>
      <c r="AC88" s="90"/>
    </row>
    <row r="89" spans="2:29" ht="30.75" customHeight="1">
      <c r="B89" s="99" t="s">
        <v>223</v>
      </c>
      <c r="C89" s="98"/>
      <c r="D89" s="98" t="s">
        <v>224</v>
      </c>
      <c r="E89" s="98"/>
      <c r="F89" s="98"/>
      <c r="G89" s="98"/>
      <c r="H89" s="98"/>
      <c r="I89" s="606"/>
      <c r="AA89" s="90"/>
      <c r="AB89" s="90"/>
      <c r="AC89" s="90"/>
    </row>
    <row r="90" spans="2:29" ht="30.75">
      <c r="B90" s="99" t="s">
        <v>225</v>
      </c>
      <c r="C90" s="98"/>
      <c r="D90" s="98" t="s">
        <v>226</v>
      </c>
      <c r="E90" s="98"/>
      <c r="F90" s="98"/>
      <c r="G90" s="98"/>
      <c r="H90" s="98"/>
      <c r="I90" s="606"/>
      <c r="AA90" s="90"/>
      <c r="AB90" s="90"/>
      <c r="AC90" s="90"/>
    </row>
    <row r="91" spans="2:29" ht="33">
      <c r="B91" s="99" t="s">
        <v>227</v>
      </c>
      <c r="C91" s="98"/>
      <c r="D91" s="98" t="s">
        <v>228</v>
      </c>
      <c r="E91" s="98"/>
      <c r="F91" s="98"/>
      <c r="G91" s="98"/>
      <c r="H91" s="98"/>
      <c r="I91" s="606"/>
      <c r="O91" s="222"/>
      <c r="AA91" s="90"/>
      <c r="AB91" s="90"/>
      <c r="AC91" s="90"/>
    </row>
    <row r="92" spans="2:29" ht="30.75">
      <c r="B92" s="99" t="s">
        <v>229</v>
      </c>
      <c r="C92" s="98"/>
      <c r="D92" s="98" t="s">
        <v>230</v>
      </c>
      <c r="E92" s="98"/>
      <c r="F92" s="98"/>
      <c r="G92" s="98"/>
      <c r="H92" s="98"/>
      <c r="I92" s="606"/>
      <c r="AA92" s="90"/>
      <c r="AB92" s="90"/>
      <c r="AC92" s="90"/>
    </row>
    <row r="93" spans="2:29">
      <c r="AA93" s="90"/>
      <c r="AB93" s="90"/>
      <c r="AC93" s="90"/>
    </row>
    <row r="94" spans="2:29">
      <c r="AA94" s="90"/>
      <c r="AB94" s="90"/>
      <c r="AC94" s="90"/>
    </row>
    <row r="95" spans="2:29">
      <c r="AA95" s="90"/>
      <c r="AB95" s="90"/>
      <c r="AC95" s="90"/>
    </row>
    <row r="96" spans="2:29">
      <c r="AA96" s="90"/>
      <c r="AB96" s="90"/>
      <c r="AC96" s="90"/>
    </row>
    <row r="97" spans="27:29">
      <c r="AA97" s="90"/>
      <c r="AB97" s="90"/>
      <c r="AC97" s="90"/>
    </row>
    <row r="98" spans="27:29">
      <c r="AA98" s="90"/>
      <c r="AB98" s="90"/>
      <c r="AC98" s="90"/>
    </row>
    <row r="99" spans="27:29">
      <c r="AA99" s="90"/>
      <c r="AB99" s="90"/>
      <c r="AC99" s="90"/>
    </row>
    <row r="100" spans="27:29" ht="51.75" customHeight="1">
      <c r="AA100" s="90"/>
      <c r="AB100" s="90"/>
      <c r="AC100" s="90"/>
    </row>
    <row r="101" spans="27:29" ht="51.75" customHeight="1">
      <c r="AA101" s="90"/>
      <c r="AB101" s="90"/>
      <c r="AC101" s="90"/>
    </row>
    <row r="102" spans="27:29" ht="51.75" customHeight="1">
      <c r="AA102" s="90"/>
      <c r="AB102" s="90"/>
      <c r="AC102" s="90"/>
    </row>
    <row r="103" spans="27:29" ht="51.75" customHeight="1">
      <c r="AA103" s="90"/>
      <c r="AB103" s="90"/>
      <c r="AC103" s="90"/>
    </row>
    <row r="104" spans="27:29" ht="45" customHeight="1">
      <c r="AA104" s="90"/>
      <c r="AB104" s="90"/>
      <c r="AC104" s="90"/>
    </row>
    <row r="105" spans="27:29" ht="54" customHeight="1">
      <c r="AA105" s="90"/>
      <c r="AB105" s="90"/>
      <c r="AC105" s="90"/>
    </row>
    <row r="106" spans="27:29" ht="54" customHeight="1">
      <c r="AA106" s="90"/>
      <c r="AB106" s="90"/>
      <c r="AC106" s="90"/>
    </row>
    <row r="107" spans="27:29" ht="54" customHeight="1">
      <c r="AA107" s="90"/>
      <c r="AB107" s="90"/>
      <c r="AC107" s="90"/>
    </row>
    <row r="108" spans="27:29">
      <c r="AA108" s="90"/>
      <c r="AB108" s="90"/>
      <c r="AC108" s="90"/>
    </row>
    <row r="109" spans="27:29" ht="8.25" customHeight="1">
      <c r="AA109" s="90"/>
      <c r="AB109" s="90"/>
      <c r="AC109" s="90"/>
    </row>
    <row r="110" spans="27:29" ht="33" customHeight="1">
      <c r="AA110" s="90"/>
      <c r="AB110" s="90"/>
      <c r="AC110" s="90"/>
    </row>
    <row r="111" spans="27:29" ht="14.25" customHeight="1">
      <c r="AA111" s="90"/>
      <c r="AB111" s="90"/>
      <c r="AC111" s="90"/>
    </row>
    <row r="112" spans="27:29" ht="14.25" customHeight="1">
      <c r="AA112" s="90"/>
      <c r="AB112" s="90"/>
      <c r="AC112" s="90"/>
    </row>
    <row r="113" spans="27:29" ht="14.25" customHeight="1">
      <c r="AA113" s="90"/>
      <c r="AB113" s="90"/>
      <c r="AC113" s="90"/>
    </row>
    <row r="114" spans="27:29" ht="14.25" customHeight="1">
      <c r="AA114" s="90"/>
      <c r="AB114" s="90"/>
      <c r="AC114" s="90"/>
    </row>
    <row r="115" spans="27:29" ht="14.25" customHeight="1">
      <c r="AA115" s="90"/>
      <c r="AB115" s="90"/>
      <c r="AC115" s="90"/>
    </row>
    <row r="116" spans="27:29" ht="14.25" customHeight="1">
      <c r="AA116" s="90"/>
      <c r="AB116" s="90"/>
      <c r="AC116" s="90"/>
    </row>
    <row r="117" spans="27:29" ht="14.25" customHeight="1">
      <c r="AA117" s="90"/>
      <c r="AB117" s="90"/>
      <c r="AC117" s="90"/>
    </row>
    <row r="118" spans="27:29" ht="14.25" customHeight="1">
      <c r="AA118" s="90"/>
      <c r="AB118" s="90"/>
      <c r="AC118" s="90"/>
    </row>
    <row r="119" spans="27:29">
      <c r="AA119" s="90"/>
      <c r="AB119" s="90"/>
      <c r="AC119" s="90"/>
    </row>
    <row r="120" spans="27:29">
      <c r="AA120" s="90"/>
      <c r="AB120" s="90"/>
      <c r="AC120" s="90"/>
    </row>
    <row r="121" spans="27:29" ht="65.25" customHeight="1">
      <c r="AA121" s="90"/>
      <c r="AB121" s="90"/>
      <c r="AC121" s="90"/>
    </row>
    <row r="122" spans="27:29" ht="65.25" customHeight="1">
      <c r="AA122" s="90"/>
      <c r="AB122" s="90"/>
      <c r="AC122" s="90"/>
    </row>
    <row r="123" spans="27:29" ht="112.5" customHeight="1">
      <c r="AA123" s="90"/>
      <c r="AB123" s="90"/>
      <c r="AC123" s="90"/>
    </row>
    <row r="124" spans="27:29" ht="65.25" customHeight="1">
      <c r="AA124" s="90"/>
      <c r="AB124" s="90"/>
      <c r="AC124" s="90"/>
    </row>
    <row r="125" spans="27:29">
      <c r="AA125" s="90"/>
      <c r="AB125" s="90"/>
      <c r="AC125" s="90"/>
    </row>
    <row r="126" spans="27:29">
      <c r="AA126" s="90"/>
      <c r="AB126" s="90"/>
      <c r="AC126" s="90"/>
    </row>
    <row r="127" spans="27:29">
      <c r="AA127" s="90"/>
      <c r="AB127" s="90"/>
      <c r="AC127" s="90"/>
    </row>
    <row r="128" spans="27:29">
      <c r="AA128" s="90"/>
      <c r="AB128" s="90"/>
      <c r="AC128" s="90"/>
    </row>
    <row r="129" spans="2:29">
      <c r="AA129" s="90"/>
      <c r="AB129" s="90"/>
      <c r="AC129" s="90"/>
    </row>
    <row r="130" spans="2:29">
      <c r="AA130" s="90"/>
      <c r="AB130" s="90"/>
      <c r="AC130" s="90"/>
    </row>
    <row r="131" spans="2:29">
      <c r="AA131" s="90"/>
      <c r="AB131" s="90"/>
      <c r="AC131" s="90"/>
    </row>
    <row r="132" spans="2:29">
      <c r="AA132" s="90"/>
      <c r="AB132" s="90"/>
      <c r="AC132" s="90"/>
    </row>
    <row r="133" spans="2:29" ht="15" thickBot="1">
      <c r="AA133" s="90"/>
      <c r="AB133" s="90"/>
      <c r="AC133" s="90"/>
    </row>
    <row r="134" spans="2:29" ht="30" customHeight="1">
      <c r="B134" s="100" t="s">
        <v>231</v>
      </c>
      <c r="C134" s="1215" t="s">
        <v>232</v>
      </c>
      <c r="D134" s="1215"/>
      <c r="E134" s="1215"/>
      <c r="F134" s="1215"/>
      <c r="G134" s="1215"/>
      <c r="H134" s="723"/>
      <c r="I134" s="724"/>
      <c r="AA134" s="222"/>
      <c r="AB134" s="90"/>
      <c r="AC134" s="90"/>
    </row>
    <row r="135" spans="2:29" ht="30">
      <c r="B135" s="101"/>
      <c r="C135" s="1213"/>
      <c r="D135" s="1213"/>
      <c r="E135" s="1213"/>
      <c r="F135" s="1213"/>
      <c r="G135" s="1213"/>
      <c r="H135" s="723"/>
      <c r="I135" s="724"/>
      <c r="AA135" s="90"/>
      <c r="AB135" s="90"/>
      <c r="AC135" s="90"/>
    </row>
    <row r="136" spans="2:29" ht="30">
      <c r="B136" s="101"/>
      <c r="C136" s="1213"/>
      <c r="D136" s="1213"/>
      <c r="E136" s="1213"/>
      <c r="F136" s="1213"/>
      <c r="G136" s="1213"/>
      <c r="H136" s="723"/>
      <c r="I136" s="724"/>
      <c r="AA136" s="90"/>
      <c r="AB136" s="90"/>
      <c r="AC136" s="90"/>
    </row>
    <row r="137" spans="2:29" ht="30">
      <c r="B137" s="101"/>
      <c r="C137" s="1213"/>
      <c r="D137" s="1213"/>
      <c r="E137" s="1213"/>
      <c r="F137" s="1213"/>
      <c r="G137" s="1213"/>
      <c r="H137" s="723"/>
      <c r="I137" s="724"/>
      <c r="AA137" s="90"/>
      <c r="AB137" s="90"/>
      <c r="AC137" s="90"/>
    </row>
    <row r="138" spans="2:29" ht="33" customHeight="1">
      <c r="B138" s="100" t="s">
        <v>231</v>
      </c>
      <c r="C138" s="1213" t="s">
        <v>233</v>
      </c>
      <c r="D138" s="1213"/>
      <c r="E138" s="1213"/>
      <c r="F138" s="1213"/>
      <c r="G138" s="1213"/>
      <c r="H138" s="723"/>
      <c r="I138" s="724"/>
      <c r="J138" s="102"/>
      <c r="K138" s="102"/>
      <c r="L138" s="102"/>
      <c r="M138" s="102"/>
      <c r="N138" s="102"/>
      <c r="O138" s="102"/>
      <c r="P138" s="102"/>
      <c r="Q138" s="102"/>
      <c r="R138" s="102"/>
      <c r="S138" s="102"/>
      <c r="T138" s="102"/>
      <c r="U138" s="102"/>
      <c r="V138" s="102"/>
      <c r="W138" s="102"/>
      <c r="X138" s="102"/>
      <c r="Y138" s="102"/>
      <c r="Z138" s="102"/>
      <c r="AA138" s="90"/>
      <c r="AB138" s="90"/>
      <c r="AC138" s="90"/>
    </row>
    <row r="139" spans="2:29" ht="33">
      <c r="B139" s="101"/>
      <c r="C139" s="1213"/>
      <c r="D139" s="1213"/>
      <c r="E139" s="1213"/>
      <c r="F139" s="1213"/>
      <c r="G139" s="1213"/>
      <c r="H139" s="723"/>
      <c r="I139" s="724"/>
      <c r="J139" s="102"/>
      <c r="K139" s="102"/>
      <c r="L139" s="102"/>
      <c r="M139" s="102"/>
      <c r="N139" s="102"/>
      <c r="O139" s="102"/>
      <c r="P139" s="102"/>
      <c r="Q139" s="102"/>
      <c r="R139" s="102"/>
      <c r="S139" s="102"/>
      <c r="T139" s="102"/>
      <c r="U139" s="102"/>
      <c r="V139" s="102"/>
      <c r="W139" s="102"/>
      <c r="X139" s="102"/>
      <c r="Y139" s="102"/>
      <c r="Z139" s="102"/>
      <c r="AA139" s="90"/>
      <c r="AB139" s="90"/>
      <c r="AC139" s="90"/>
    </row>
    <row r="140" spans="2:29" ht="33">
      <c r="B140" s="101"/>
      <c r="C140" s="1213"/>
      <c r="D140" s="1213"/>
      <c r="E140" s="1213"/>
      <c r="F140" s="1213"/>
      <c r="G140" s="1213"/>
      <c r="H140" s="723"/>
      <c r="I140" s="724"/>
      <c r="J140" s="102"/>
      <c r="K140" s="102"/>
      <c r="L140" s="102"/>
      <c r="M140" s="102"/>
      <c r="N140" s="102"/>
      <c r="O140" s="102"/>
      <c r="P140" s="102"/>
      <c r="Q140" s="102"/>
      <c r="R140" s="102"/>
      <c r="S140" s="102"/>
      <c r="T140" s="102"/>
      <c r="U140" s="102"/>
      <c r="V140" s="102"/>
      <c r="W140" s="102"/>
      <c r="X140" s="102"/>
      <c r="Y140" s="102"/>
      <c r="Z140" s="102"/>
      <c r="AA140" s="90"/>
      <c r="AB140" s="90"/>
      <c r="AC140" s="90"/>
    </row>
    <row r="141" spans="2:29" ht="33">
      <c r="B141" s="101"/>
      <c r="C141" s="1213"/>
      <c r="D141" s="1213"/>
      <c r="E141" s="1213"/>
      <c r="F141" s="1213"/>
      <c r="G141" s="1213"/>
      <c r="H141" s="723"/>
      <c r="I141" s="724"/>
      <c r="J141" s="102"/>
      <c r="K141" s="102"/>
      <c r="L141" s="102"/>
      <c r="M141" s="102"/>
      <c r="N141" s="102"/>
      <c r="O141" s="102"/>
      <c r="P141" s="102"/>
      <c r="Q141" s="102"/>
      <c r="R141" s="102"/>
      <c r="S141" s="102"/>
      <c r="T141" s="102"/>
      <c r="U141" s="102"/>
      <c r="V141" s="102"/>
      <c r="W141" s="102"/>
      <c r="X141" s="102"/>
      <c r="Y141" s="102"/>
      <c r="Z141" s="102"/>
      <c r="AA141" s="90"/>
      <c r="AB141" s="90"/>
      <c r="AC141" s="90"/>
    </row>
    <row r="142" spans="2:29">
      <c r="AA142" s="90"/>
      <c r="AB142" s="90"/>
      <c r="AC142" s="90"/>
    </row>
    <row r="143" spans="2:29" ht="30" customHeight="1">
      <c r="B143" s="103" t="s">
        <v>231</v>
      </c>
      <c r="C143" s="1213" t="s">
        <v>234</v>
      </c>
      <c r="D143" s="1213"/>
      <c r="E143" s="1213"/>
      <c r="F143" s="1213"/>
      <c r="G143" s="1213"/>
      <c r="H143" s="723"/>
      <c r="I143" s="724"/>
      <c r="AA143" s="90"/>
      <c r="AB143" s="90"/>
      <c r="AC143" s="90"/>
    </row>
    <row r="144" spans="2:29" ht="30">
      <c r="C144" s="1213"/>
      <c r="D144" s="1213"/>
      <c r="E144" s="1213"/>
      <c r="F144" s="1213"/>
      <c r="G144" s="1213"/>
      <c r="H144" s="723"/>
      <c r="I144" s="724"/>
      <c r="AA144" s="90"/>
      <c r="AB144" s="90"/>
      <c r="AC144" s="90"/>
    </row>
    <row r="145" spans="3:29" ht="30">
      <c r="C145" s="1213"/>
      <c r="D145" s="1213"/>
      <c r="E145" s="1213"/>
      <c r="F145" s="1213"/>
      <c r="G145" s="1213"/>
      <c r="H145" s="723"/>
      <c r="I145" s="724"/>
      <c r="AA145" s="90"/>
      <c r="AB145" s="90"/>
      <c r="AC145" s="90"/>
    </row>
    <row r="146" spans="3:29" ht="30">
      <c r="C146" s="1213"/>
      <c r="D146" s="1213"/>
      <c r="E146" s="1213"/>
      <c r="F146" s="1213"/>
      <c r="G146" s="1213"/>
      <c r="H146" s="723"/>
      <c r="I146" s="724"/>
      <c r="AA146" s="90"/>
      <c r="AB146" s="90"/>
      <c r="AC146" s="90"/>
    </row>
    <row r="147" spans="3:29" ht="30">
      <c r="C147" s="1213"/>
      <c r="D147" s="1213"/>
      <c r="E147" s="1213"/>
      <c r="F147" s="1213"/>
      <c r="G147" s="1213"/>
      <c r="H147" s="723"/>
      <c r="I147" s="724"/>
      <c r="AA147" s="90"/>
      <c r="AB147" s="90"/>
      <c r="AC147" s="90"/>
    </row>
    <row r="148" spans="3:29" ht="30">
      <c r="C148" s="1213"/>
      <c r="D148" s="1213"/>
      <c r="E148" s="1213"/>
      <c r="F148" s="1213"/>
      <c r="G148" s="1213"/>
      <c r="H148" s="723"/>
      <c r="I148" s="724"/>
      <c r="AA148" s="90"/>
      <c r="AB148" s="90"/>
      <c r="AC148" s="90"/>
    </row>
    <row r="149" spans="3:29" ht="30">
      <c r="C149" s="1213"/>
      <c r="D149" s="1213"/>
      <c r="E149" s="1213"/>
      <c r="F149" s="1213"/>
      <c r="G149" s="1213"/>
      <c r="H149" s="723"/>
      <c r="I149" s="724"/>
      <c r="AA149" s="90"/>
      <c r="AB149" s="90"/>
      <c r="AC149" s="90"/>
    </row>
    <row r="150" spans="3:29" ht="30">
      <c r="C150" s="1213"/>
      <c r="D150" s="1213"/>
      <c r="E150" s="1213"/>
      <c r="F150" s="1213"/>
      <c r="G150" s="1213"/>
      <c r="H150" s="723"/>
      <c r="I150" s="724"/>
      <c r="AA150" s="90"/>
      <c r="AB150" s="90"/>
      <c r="AC150" s="90"/>
    </row>
    <row r="151" spans="3:29" ht="30">
      <c r="C151" s="1213"/>
      <c r="D151" s="1213"/>
      <c r="E151" s="1213"/>
      <c r="F151" s="1213"/>
      <c r="G151" s="1213"/>
      <c r="H151" s="723"/>
      <c r="I151" s="724"/>
      <c r="AA151" s="90"/>
      <c r="AB151" s="90"/>
      <c r="AC151" s="90"/>
    </row>
    <row r="152" spans="3:29" ht="30">
      <c r="C152" s="1213"/>
      <c r="D152" s="1213"/>
      <c r="E152" s="1213"/>
      <c r="F152" s="1213"/>
      <c r="G152" s="1213"/>
      <c r="H152" s="723"/>
      <c r="I152" s="724"/>
      <c r="AA152" s="90"/>
      <c r="AB152" s="90"/>
      <c r="AC152" s="90"/>
    </row>
    <row r="153" spans="3:29">
      <c r="AA153" s="90"/>
      <c r="AB153" s="90"/>
      <c r="AC153" s="90"/>
    </row>
    <row r="154" spans="3:29" ht="30">
      <c r="C154" s="1213"/>
      <c r="D154" s="1213"/>
      <c r="E154" s="1213"/>
      <c r="F154" s="1213"/>
      <c r="G154" s="1213"/>
      <c r="H154" s="723"/>
      <c r="I154" s="724"/>
      <c r="AA154" s="90"/>
      <c r="AB154" s="90"/>
      <c r="AC154" s="90"/>
    </row>
    <row r="155" spans="3:29" ht="30">
      <c r="C155" s="1213"/>
      <c r="D155" s="1213"/>
      <c r="E155" s="1213"/>
      <c r="F155" s="1213"/>
      <c r="G155" s="1213"/>
      <c r="H155" s="723"/>
      <c r="I155" s="724"/>
      <c r="AA155" s="90"/>
      <c r="AB155" s="90"/>
      <c r="AC155" s="90"/>
    </row>
    <row r="156" spans="3:29" ht="34.5">
      <c r="C156" s="725"/>
      <c r="D156" s="725"/>
      <c r="E156" s="726"/>
      <c r="F156" s="727"/>
      <c r="G156" s="727"/>
      <c r="H156" s="727"/>
      <c r="I156" s="728"/>
      <c r="AA156" s="90"/>
      <c r="AB156" s="90"/>
      <c r="AC156" s="90"/>
    </row>
    <row r="157" spans="3:29" ht="34.5">
      <c r="C157" s="725"/>
      <c r="D157" s="725"/>
      <c r="E157" s="726"/>
      <c r="F157" s="727"/>
      <c r="G157" s="727"/>
      <c r="I157" s="729"/>
      <c r="P157" s="727"/>
      <c r="AA157" s="90"/>
      <c r="AB157" s="90"/>
      <c r="AC157" s="90"/>
    </row>
    <row r="158" spans="3:29">
      <c r="AA158" s="90"/>
      <c r="AB158" s="90"/>
      <c r="AC158" s="90"/>
    </row>
  </sheetData>
  <mergeCells count="31">
    <mergeCell ref="B4:P4"/>
    <mergeCell ref="B5:P5"/>
    <mergeCell ref="N8:P8"/>
    <mergeCell ref="C143:G152"/>
    <mergeCell ref="K10:K11"/>
    <mergeCell ref="C12:G12"/>
    <mergeCell ref="C138:G141"/>
    <mergeCell ref="E51:G51"/>
    <mergeCell ref="C154:G155"/>
    <mergeCell ref="N10:N11"/>
    <mergeCell ref="E28:G28"/>
    <mergeCell ref="M10:M11"/>
    <mergeCell ref="C134:G137"/>
    <mergeCell ref="D87:O87"/>
    <mergeCell ref="B9:G11"/>
    <mergeCell ref="J9:J11"/>
    <mergeCell ref="R10:R11"/>
    <mergeCell ref="T10:T11"/>
    <mergeCell ref="S10:S11"/>
    <mergeCell ref="L10:L11"/>
    <mergeCell ref="AA9:AB11"/>
    <mergeCell ref="P10:P11"/>
    <mergeCell ref="AC9:AC11"/>
    <mergeCell ref="W10:W11"/>
    <mergeCell ref="O10:O11"/>
    <mergeCell ref="Q10:Q11"/>
    <mergeCell ref="Z10:Z11"/>
    <mergeCell ref="V10:V11"/>
    <mergeCell ref="Y10:Y11"/>
    <mergeCell ref="X10:X11"/>
    <mergeCell ref="U10:U1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39997558519241921"/>
  </sheetPr>
  <dimension ref="A1:BU122"/>
  <sheetViews>
    <sheetView topLeftCell="C7" zoomScale="63" zoomScaleNormal="80" workbookViewId="0">
      <selection activeCell="M33" sqref="M33"/>
    </sheetView>
  </sheetViews>
  <sheetFormatPr defaultRowHeight="15"/>
  <cols>
    <col min="1" max="1" width="4" style="31" customWidth="1"/>
    <col min="2" max="2" width="5.140625" style="31" customWidth="1"/>
    <col min="3" max="4" width="3.85546875" style="31" customWidth="1"/>
    <col min="5" max="5" width="6" style="31" customWidth="1"/>
    <col min="6" max="6" width="2.85546875" style="31" customWidth="1"/>
    <col min="7" max="7" width="55.85546875" style="31" bestFit="1" customWidth="1"/>
    <col min="8" max="8" width="9.140625" style="265" bestFit="1" customWidth="1"/>
    <col min="9" max="9" width="18.140625" style="32" customWidth="1"/>
    <col min="10" max="10" width="16.85546875" style="31" bestFit="1" customWidth="1"/>
    <col min="11" max="11" width="16.42578125" style="31" customWidth="1"/>
    <col min="12" max="15" width="15.85546875" style="31" customWidth="1"/>
    <col min="16" max="24" width="16.85546875" style="31" customWidth="1"/>
    <col min="25" max="25" width="9.140625" style="21"/>
    <col min="26" max="26" width="12.85546875" style="21" bestFit="1" customWidth="1"/>
    <col min="27" max="73" width="9.140625" style="21"/>
    <col min="74" max="16384" width="9.140625" style="31"/>
  </cols>
  <sheetData>
    <row r="1" spans="1:73" ht="15.75" thickBot="1"/>
    <row r="2" spans="1:73" s="76" customFormat="1" ht="16.5" thickTop="1" thickBot="1">
      <c r="A2" s="33" t="s">
        <v>18</v>
      </c>
      <c r="B2" s="33" t="s">
        <v>19</v>
      </c>
      <c r="C2" s="33" t="s">
        <v>20</v>
      </c>
      <c r="D2" s="33" t="s">
        <v>21</v>
      </c>
      <c r="E2" s="33" t="s">
        <v>22</v>
      </c>
      <c r="F2" s="33" t="s">
        <v>23</v>
      </c>
      <c r="G2" s="33" t="s">
        <v>24</v>
      </c>
      <c r="H2" s="273"/>
      <c r="I2" s="274" t="s">
        <v>25</v>
      </c>
      <c r="J2" s="33" t="s">
        <v>26</v>
      </c>
      <c r="K2" s="33" t="s">
        <v>27</v>
      </c>
      <c r="L2" s="33" t="s">
        <v>28</v>
      </c>
      <c r="M2" s="33" t="s">
        <v>29</v>
      </c>
      <c r="N2" s="33" t="s">
        <v>30</v>
      </c>
      <c r="O2" s="33" t="s">
        <v>31</v>
      </c>
      <c r="P2" s="275"/>
      <c r="Q2" s="275"/>
      <c r="R2" s="275"/>
      <c r="S2" s="275"/>
      <c r="T2" s="275"/>
      <c r="U2" s="275"/>
      <c r="V2" s="275"/>
      <c r="W2" s="275"/>
      <c r="X2" s="275"/>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row>
    <row r="3" spans="1:73" ht="41.25" customHeight="1" thickTop="1">
      <c r="B3" s="1229" t="s">
        <v>235</v>
      </c>
      <c r="C3" s="1229"/>
      <c r="D3" s="1229"/>
      <c r="E3" s="1229"/>
      <c r="F3" s="1229"/>
      <c r="G3" s="1229"/>
      <c r="H3" s="1229"/>
      <c r="I3" s="1229"/>
      <c r="J3" s="1229"/>
      <c r="K3" s="1229"/>
      <c r="L3" s="1229"/>
      <c r="M3" s="1229"/>
      <c r="N3" s="1229"/>
      <c r="O3" s="1229"/>
      <c r="P3" s="375"/>
      <c r="Q3" s="375"/>
      <c r="R3" s="375"/>
      <c r="S3" s="375"/>
      <c r="T3" s="375"/>
      <c r="U3" s="375"/>
      <c r="V3" s="375"/>
      <c r="W3" s="375"/>
      <c r="X3" s="375"/>
    </row>
    <row r="4" spans="1:73" ht="20.25">
      <c r="B4" s="1230" t="s">
        <v>236</v>
      </c>
      <c r="C4" s="1230"/>
      <c r="D4" s="1230"/>
      <c r="E4" s="1230"/>
      <c r="F4" s="1230"/>
      <c r="G4" s="1230"/>
      <c r="H4" s="1230"/>
      <c r="I4" s="1230"/>
      <c r="J4" s="1230"/>
      <c r="K4" s="1230"/>
      <c r="L4" s="1230"/>
      <c r="M4" s="1230"/>
      <c r="N4" s="1230"/>
      <c r="O4" s="1230"/>
      <c r="P4" s="1230"/>
      <c r="Q4" s="1230"/>
      <c r="R4" s="1230"/>
      <c r="S4" s="1230"/>
      <c r="T4" s="1230"/>
      <c r="U4" s="1230"/>
      <c r="V4" s="1230"/>
      <c r="W4" s="1230"/>
      <c r="X4" s="1230"/>
    </row>
    <row r="5" spans="1:73" ht="20.25">
      <c r="B5" s="1230" t="s">
        <v>237</v>
      </c>
      <c r="C5" s="1230"/>
      <c r="D5" s="1230"/>
      <c r="E5" s="1230"/>
      <c r="F5" s="1230"/>
      <c r="G5" s="1230"/>
      <c r="H5" s="1230"/>
      <c r="I5" s="1230"/>
      <c r="J5" s="1230"/>
      <c r="K5" s="1230"/>
      <c r="L5" s="1230"/>
      <c r="M5" s="1230"/>
      <c r="N5" s="1230"/>
      <c r="O5" s="1230"/>
      <c r="P5" s="1230"/>
      <c r="Q5" s="1230"/>
      <c r="R5" s="1230"/>
      <c r="S5" s="1230"/>
      <c r="T5" s="1230"/>
      <c r="U5" s="1230"/>
      <c r="V5" s="1230"/>
      <c r="W5" s="1230"/>
      <c r="X5" s="1230"/>
    </row>
    <row r="6" spans="1:73" ht="20.25">
      <c r="B6" s="1231">
        <v>46203</v>
      </c>
      <c r="C6" s="1230"/>
      <c r="D6" s="1230"/>
      <c r="E6" s="1230"/>
      <c r="F6" s="1230"/>
      <c r="G6" s="1230"/>
      <c r="H6" s="1230"/>
      <c r="I6" s="1230"/>
      <c r="J6" s="1230"/>
      <c r="K6" s="1230"/>
      <c r="L6" s="1230"/>
      <c r="M6" s="1230"/>
      <c r="N6" s="1230"/>
      <c r="O6" s="1230"/>
      <c r="P6" s="1230"/>
      <c r="Q6" s="1230"/>
      <c r="R6" s="1230"/>
      <c r="S6" s="1230"/>
      <c r="T6" s="1230"/>
      <c r="U6" s="1230"/>
      <c r="V6" s="1230"/>
      <c r="W6" s="1230"/>
      <c r="X6" s="1230"/>
    </row>
    <row r="7" spans="1:73" ht="18">
      <c r="B7" s="1232" t="s">
        <v>238</v>
      </c>
      <c r="C7" s="1232"/>
      <c r="D7" s="1232"/>
      <c r="E7" s="1232"/>
      <c r="F7" s="1232"/>
      <c r="G7" s="1232"/>
      <c r="H7" s="1232"/>
      <c r="I7" s="1232"/>
      <c r="J7" s="1232"/>
      <c r="K7" s="1232"/>
      <c r="L7" s="1232"/>
      <c r="M7" s="1232"/>
      <c r="N7" s="1232"/>
      <c r="O7" s="1232"/>
      <c r="P7" s="1232"/>
      <c r="Q7" s="1232"/>
      <c r="R7" s="1232"/>
      <c r="S7" s="1232"/>
      <c r="T7" s="1232"/>
      <c r="U7" s="1232"/>
      <c r="V7" s="1232"/>
      <c r="W7" s="1232"/>
      <c r="X7" s="1232"/>
    </row>
    <row r="8" spans="1:73" ht="15" customHeight="1">
      <c r="B8" s="267"/>
      <c r="C8" s="267"/>
      <c r="D8" s="267"/>
      <c r="E8" s="267"/>
      <c r="F8" s="267"/>
      <c r="G8" s="744"/>
      <c r="H8" s="268"/>
      <c r="I8" s="476" t="s">
        <v>3</v>
      </c>
      <c r="J8" s="224">
        <f>SUM(J14:L14)+SUM(J59:L59)</f>
        <v>88446</v>
      </c>
      <c r="K8" s="224">
        <f>J8-J9</f>
        <v>23678</v>
      </c>
      <c r="L8" s="225"/>
      <c r="M8" s="224"/>
      <c r="N8" s="224"/>
      <c r="O8" s="224"/>
      <c r="P8" s="224"/>
      <c r="Q8" s="267"/>
      <c r="R8" s="267"/>
      <c r="S8" s="267"/>
      <c r="T8" s="267"/>
      <c r="U8" s="267"/>
      <c r="V8" s="267"/>
      <c r="W8" s="267"/>
      <c r="X8" s="267"/>
    </row>
    <row r="9" spans="1:73" ht="15.75" thickBot="1">
      <c r="B9" s="21"/>
      <c r="C9" s="21"/>
      <c r="D9" s="21"/>
      <c r="E9" s="21"/>
      <c r="F9" s="21"/>
      <c r="G9" s="571"/>
      <c r="H9" s="477"/>
      <c r="I9" s="23" t="s">
        <v>4</v>
      </c>
      <c r="J9" s="571">
        <f>SUM(J68:L68)+SUM(J34:L34)</f>
        <v>64768</v>
      </c>
      <c r="K9" s="478"/>
      <c r="L9" s="571">
        <f>I14-I34</f>
        <v>0</v>
      </c>
      <c r="M9" s="478"/>
      <c r="N9" s="478"/>
      <c r="O9" s="227"/>
      <c r="P9" s="277"/>
      <c r="Q9" s="277"/>
      <c r="R9" s="277"/>
      <c r="S9" s="277"/>
      <c r="T9" s="228"/>
      <c r="U9" s="277"/>
      <c r="V9" s="277"/>
      <c r="W9" s="1228" t="s">
        <v>239</v>
      </c>
      <c r="X9" s="1228"/>
    </row>
    <row r="10" spans="1:73" s="34" customFormat="1" ht="26.25" customHeight="1" thickBot="1">
      <c r="B10" s="1248" t="s">
        <v>40</v>
      </c>
      <c r="C10" s="1249"/>
      <c r="D10" s="1249"/>
      <c r="E10" s="1249"/>
      <c r="F10" s="1249"/>
      <c r="G10" s="1249"/>
      <c r="H10" s="1237" t="s">
        <v>240</v>
      </c>
      <c r="I10" s="1240" t="s">
        <v>241</v>
      </c>
      <c r="J10" s="1243" t="s">
        <v>242</v>
      </c>
      <c r="K10" s="1244"/>
      <c r="L10" s="1244"/>
      <c r="M10" s="1244"/>
      <c r="N10" s="1244"/>
      <c r="O10" s="1244"/>
      <c r="P10" s="1244"/>
      <c r="Q10" s="1244"/>
      <c r="R10" s="1244"/>
      <c r="S10" s="1244"/>
      <c r="T10" s="1244"/>
      <c r="U10" s="1244"/>
      <c r="V10" s="1244"/>
      <c r="W10" s="1244"/>
      <c r="X10" s="1245"/>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row>
    <row r="11" spans="1:73" ht="26.25" customHeight="1">
      <c r="B11" s="1250"/>
      <c r="C11" s="1251"/>
      <c r="D11" s="1251"/>
      <c r="E11" s="1251"/>
      <c r="F11" s="1251"/>
      <c r="G11" s="1251"/>
      <c r="H11" s="1238"/>
      <c r="I11" s="1241"/>
      <c r="J11" s="1224" t="s">
        <v>243</v>
      </c>
      <c r="K11" s="1226" t="s">
        <v>244</v>
      </c>
      <c r="L11" s="1226" t="s">
        <v>245</v>
      </c>
      <c r="M11" s="1226" t="s">
        <v>246</v>
      </c>
      <c r="N11" s="1226" t="s">
        <v>247</v>
      </c>
      <c r="O11" s="1226" t="s">
        <v>248</v>
      </c>
      <c r="P11" s="1222" t="s">
        <v>53</v>
      </c>
      <c r="Q11" s="1222" t="s">
        <v>54</v>
      </c>
      <c r="R11" s="1222" t="s">
        <v>55</v>
      </c>
      <c r="S11" s="1222" t="s">
        <v>56</v>
      </c>
      <c r="T11" s="1222" t="s">
        <v>57</v>
      </c>
      <c r="U11" s="1222" t="s">
        <v>58</v>
      </c>
      <c r="V11" s="1222" t="s">
        <v>59</v>
      </c>
      <c r="W11" s="1222" t="s">
        <v>60</v>
      </c>
      <c r="X11" s="1222" t="s">
        <v>61</v>
      </c>
    </row>
    <row r="12" spans="1:73" ht="26.25" customHeight="1" thickBot="1">
      <c r="B12" s="1252"/>
      <c r="C12" s="1253"/>
      <c r="D12" s="1253"/>
      <c r="E12" s="1253"/>
      <c r="F12" s="1253"/>
      <c r="G12" s="1253"/>
      <c r="H12" s="1239"/>
      <c r="I12" s="1242"/>
      <c r="J12" s="1225"/>
      <c r="K12" s="1227"/>
      <c r="L12" s="1227"/>
      <c r="M12" s="1227"/>
      <c r="N12" s="1227"/>
      <c r="O12" s="1227"/>
      <c r="P12" s="1223"/>
      <c r="Q12" s="1223"/>
      <c r="R12" s="1223"/>
      <c r="S12" s="1223"/>
      <c r="T12" s="1223"/>
      <c r="U12" s="1223"/>
      <c r="V12" s="1223"/>
      <c r="W12" s="1223"/>
      <c r="X12" s="1223"/>
    </row>
    <row r="13" spans="1:73" ht="15" customHeight="1">
      <c r="B13" s="278" t="s">
        <v>63</v>
      </c>
      <c r="C13" s="1234" t="s">
        <v>64</v>
      </c>
      <c r="D13" s="1234"/>
      <c r="E13" s="1234"/>
      <c r="F13" s="1234"/>
      <c r="G13" s="1234"/>
      <c r="H13" s="279"/>
      <c r="I13" s="280"/>
      <c r="J13" s="281"/>
      <c r="K13" s="282"/>
      <c r="L13" s="282"/>
      <c r="M13" s="283"/>
      <c r="N13" s="284"/>
      <c r="O13" s="283"/>
      <c r="P13" s="285"/>
      <c r="Q13" s="286"/>
      <c r="R13" s="286"/>
      <c r="S13" s="286"/>
      <c r="T13" s="286"/>
      <c r="U13" s="286"/>
      <c r="V13" s="286"/>
      <c r="W13" s="286"/>
      <c r="X13" s="286"/>
    </row>
    <row r="14" spans="1:73" s="35" customFormat="1" ht="15.75" thickBot="1">
      <c r="B14" s="745" t="s">
        <v>65</v>
      </c>
      <c r="C14" s="1111" t="s">
        <v>3</v>
      </c>
      <c r="D14" s="1112"/>
      <c r="E14" s="1112"/>
      <c r="F14" s="1112"/>
      <c r="G14" s="1112"/>
      <c r="H14" s="1113">
        <v>10000</v>
      </c>
      <c r="I14" s="1114">
        <f>ROUND(SUM(J14:X14),0)</f>
        <v>1189497</v>
      </c>
      <c r="J14" s="1115">
        <f>ROUND(+J15+J16+J17+J18+J25+J28+J31,0)</f>
        <v>88446</v>
      </c>
      <c r="K14" s="1115">
        <f t="shared" ref="K14:X14" si="0">ROUND(+K15+K16+K17+K18+K25+K28+K31,0)</f>
        <v>0</v>
      </c>
      <c r="L14" s="1115">
        <f t="shared" si="0"/>
        <v>0</v>
      </c>
      <c r="M14" s="1115">
        <f t="shared" si="0"/>
        <v>8822</v>
      </c>
      <c r="N14" s="1115">
        <f t="shared" si="0"/>
        <v>19868</v>
      </c>
      <c r="O14" s="1115">
        <f t="shared" si="0"/>
        <v>31717</v>
      </c>
      <c r="P14" s="1115">
        <f t="shared" si="0"/>
        <v>16131</v>
      </c>
      <c r="Q14" s="1115">
        <f t="shared" si="0"/>
        <v>207724</v>
      </c>
      <c r="R14" s="1115">
        <f t="shared" si="0"/>
        <v>455780</v>
      </c>
      <c r="S14" s="1115">
        <f t="shared" si="0"/>
        <v>148706</v>
      </c>
      <c r="T14" s="1115">
        <f t="shared" si="0"/>
        <v>106219</v>
      </c>
      <c r="U14" s="1115">
        <f t="shared" si="0"/>
        <v>106084</v>
      </c>
      <c r="V14" s="1115">
        <f t="shared" si="0"/>
        <v>0</v>
      </c>
      <c r="W14" s="1115">
        <f t="shared" si="0"/>
        <v>0</v>
      </c>
      <c r="X14" s="1115">
        <f t="shared" si="0"/>
        <v>0</v>
      </c>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row>
    <row r="15" spans="1:73" s="35" customFormat="1" ht="15.75" thickBot="1">
      <c r="B15" s="287"/>
      <c r="C15" s="288" t="s">
        <v>66</v>
      </c>
      <c r="D15" s="289" t="s">
        <v>67</v>
      </c>
      <c r="E15" s="289"/>
      <c r="F15" s="289"/>
      <c r="G15" s="289"/>
      <c r="H15" s="229">
        <v>10100</v>
      </c>
      <c r="I15" s="230">
        <f t="shared" ref="I15:I31" si="1">ROUND(SUM(J15:X15),0)</f>
        <v>22</v>
      </c>
      <c r="J15" s="269">
        <v>21.668589999999998</v>
      </c>
      <c r="K15" s="746"/>
      <c r="L15" s="269"/>
      <c r="M15" s="269"/>
      <c r="N15" s="269"/>
      <c r="O15" s="269"/>
      <c r="P15" s="269"/>
      <c r="Q15" s="269"/>
      <c r="R15" s="269"/>
      <c r="S15" s="269"/>
      <c r="T15" s="269"/>
      <c r="U15" s="269"/>
      <c r="V15" s="269"/>
      <c r="W15" s="269"/>
      <c r="X15" s="269"/>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row>
    <row r="16" spans="1:73" s="35" customFormat="1" ht="15.75" thickBot="1">
      <c r="B16" s="292"/>
      <c r="C16" s="293" t="s">
        <v>73</v>
      </c>
      <c r="D16" s="294" t="s">
        <v>74</v>
      </c>
      <c r="E16" s="294"/>
      <c r="F16" s="294"/>
      <c r="G16" s="294"/>
      <c r="H16" s="229">
        <v>10200</v>
      </c>
      <c r="I16" s="230">
        <f t="shared" si="1"/>
        <v>0</v>
      </c>
      <c r="J16" s="269"/>
      <c r="K16" s="269"/>
      <c r="L16" s="269"/>
      <c r="M16" s="269"/>
      <c r="N16" s="269"/>
      <c r="O16" s="269"/>
      <c r="P16" s="269"/>
      <c r="Q16" s="269"/>
      <c r="R16" s="269"/>
      <c r="S16" s="269"/>
      <c r="T16" s="269"/>
      <c r="U16" s="269"/>
      <c r="V16" s="269"/>
      <c r="W16" s="269"/>
      <c r="X16" s="269">
        <f>X17*$Z$17</f>
        <v>0</v>
      </c>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row>
    <row r="17" spans="2:73" s="35" customFormat="1" ht="15.75" thickBot="1">
      <c r="B17" s="287"/>
      <c r="C17" s="288" t="s">
        <v>77</v>
      </c>
      <c r="D17" s="289" t="s">
        <v>78</v>
      </c>
      <c r="E17" s="289"/>
      <c r="F17" s="289"/>
      <c r="G17" s="289"/>
      <c r="H17" s="231">
        <v>10300</v>
      </c>
      <c r="I17" s="230">
        <f t="shared" si="1"/>
        <v>160636</v>
      </c>
      <c r="J17" s="269">
        <v>45178.975425937497</v>
      </c>
      <c r="K17" s="269">
        <v>0</v>
      </c>
      <c r="L17" s="269">
        <v>0</v>
      </c>
      <c r="M17" s="269">
        <v>0</v>
      </c>
      <c r="N17" s="269">
        <v>0</v>
      </c>
      <c r="O17" s="269">
        <v>0</v>
      </c>
      <c r="P17" s="269">
        <v>0</v>
      </c>
      <c r="Q17" s="269">
        <v>0</v>
      </c>
      <c r="R17" s="269">
        <v>0</v>
      </c>
      <c r="S17" s="269">
        <v>115457.38164406249</v>
      </c>
      <c r="T17" s="269">
        <v>0</v>
      </c>
      <c r="U17" s="269">
        <v>0</v>
      </c>
      <c r="V17" s="269">
        <v>0</v>
      </c>
      <c r="W17" s="269">
        <v>0</v>
      </c>
      <c r="X17" s="269">
        <v>0</v>
      </c>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row>
    <row r="18" spans="2:73" s="35" customFormat="1">
      <c r="B18" s="287"/>
      <c r="C18" s="288" t="s">
        <v>81</v>
      </c>
      <c r="D18" s="289" t="s">
        <v>82</v>
      </c>
      <c r="E18" s="289"/>
      <c r="F18" s="289"/>
      <c r="G18" s="289"/>
      <c r="H18" s="229">
        <v>10400</v>
      </c>
      <c r="I18" s="230">
        <f t="shared" si="1"/>
        <v>96848</v>
      </c>
      <c r="J18" s="232">
        <f>+J19+J24</f>
        <v>0</v>
      </c>
      <c r="K18" s="232">
        <f t="shared" ref="K18:X18" si="2">+K19+K24</f>
        <v>0</v>
      </c>
      <c r="L18" s="232">
        <f t="shared" si="2"/>
        <v>0</v>
      </c>
      <c r="M18" s="232">
        <f t="shared" si="2"/>
        <v>0</v>
      </c>
      <c r="N18" s="232">
        <f t="shared" si="2"/>
        <v>0</v>
      </c>
      <c r="O18" s="232">
        <f t="shared" si="2"/>
        <v>3881.9415464292488</v>
      </c>
      <c r="P18" s="232">
        <f t="shared" si="2"/>
        <v>7689.7319363118186</v>
      </c>
      <c r="Q18" s="232">
        <f t="shared" si="2"/>
        <v>0</v>
      </c>
      <c r="R18" s="232">
        <f t="shared" si="2"/>
        <v>0</v>
      </c>
      <c r="S18" s="232">
        <f t="shared" si="2"/>
        <v>2835.236411611108</v>
      </c>
      <c r="T18" s="232">
        <f t="shared" si="2"/>
        <v>61260.351296658671</v>
      </c>
      <c r="U18" s="232">
        <f t="shared" si="2"/>
        <v>21181.087288989147</v>
      </c>
      <c r="V18" s="232">
        <f t="shared" si="2"/>
        <v>0</v>
      </c>
      <c r="W18" s="232">
        <f t="shared" si="2"/>
        <v>0</v>
      </c>
      <c r="X18" s="232">
        <f t="shared" si="2"/>
        <v>0</v>
      </c>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row>
    <row r="19" spans="2:73" s="35" customFormat="1">
      <c r="B19" s="1116"/>
      <c r="C19" s="1117"/>
      <c r="D19" s="1118" t="s">
        <v>84</v>
      </c>
      <c r="E19" s="1118" t="s">
        <v>85</v>
      </c>
      <c r="F19" s="1118"/>
      <c r="G19" s="1118"/>
      <c r="H19" s="747">
        <v>10420</v>
      </c>
      <c r="I19" s="748">
        <f t="shared" si="1"/>
        <v>96848</v>
      </c>
      <c r="J19" s="1119">
        <f>+SUM(J20:J23)</f>
        <v>0</v>
      </c>
      <c r="K19" s="1119">
        <f t="shared" ref="K19:X19" si="3">+SUM(K20:K23)</f>
        <v>0</v>
      </c>
      <c r="L19" s="1119">
        <f t="shared" si="3"/>
        <v>0</v>
      </c>
      <c r="M19" s="1119">
        <f t="shared" si="3"/>
        <v>0</v>
      </c>
      <c r="N19" s="1119">
        <f t="shared" si="3"/>
        <v>0</v>
      </c>
      <c r="O19" s="1119">
        <f t="shared" si="3"/>
        <v>3881.9415464292488</v>
      </c>
      <c r="P19" s="1119">
        <f t="shared" si="3"/>
        <v>7689.7319363118186</v>
      </c>
      <c r="Q19" s="1119">
        <f t="shared" si="3"/>
        <v>0</v>
      </c>
      <c r="R19" s="1119">
        <f t="shared" si="3"/>
        <v>0</v>
      </c>
      <c r="S19" s="1119">
        <f t="shared" si="3"/>
        <v>2835.236411611108</v>
      </c>
      <c r="T19" s="1119">
        <f>+SUM(T20:T22)</f>
        <v>61260.351296658671</v>
      </c>
      <c r="U19" s="1119">
        <f t="shared" si="3"/>
        <v>21181.087288989147</v>
      </c>
      <c r="V19" s="1119">
        <f t="shared" si="3"/>
        <v>0</v>
      </c>
      <c r="W19" s="1119">
        <f t="shared" si="3"/>
        <v>0</v>
      </c>
      <c r="X19" s="1119">
        <f t="shared" si="3"/>
        <v>0</v>
      </c>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row>
    <row r="20" spans="2:73" s="35" customFormat="1">
      <c r="B20" s="1120"/>
      <c r="C20" s="1121"/>
      <c r="D20" s="1122"/>
      <c r="E20" s="297" t="s">
        <v>87</v>
      </c>
      <c r="F20" s="297" t="s">
        <v>88</v>
      </c>
      <c r="G20" s="297"/>
      <c r="H20" s="749">
        <v>10421</v>
      </c>
      <c r="I20" s="750">
        <f t="shared" si="1"/>
        <v>0</v>
      </c>
      <c r="J20" s="751">
        <f>J21*$Z$21</f>
        <v>0</v>
      </c>
      <c r="K20" s="751">
        <f>K21*$Z$21</f>
        <v>0</v>
      </c>
      <c r="L20" s="751">
        <f>L21*$Z$21</f>
        <v>0</v>
      </c>
      <c r="M20" s="751">
        <f>M21*$Z$21</f>
        <v>0</v>
      </c>
      <c r="N20" s="751">
        <f>N21*$Z$21</f>
        <v>0</v>
      </c>
      <c r="O20" s="751"/>
      <c r="P20" s="751"/>
      <c r="Q20" s="751"/>
      <c r="R20" s="751"/>
      <c r="S20" s="751"/>
      <c r="T20" s="751"/>
      <c r="U20" s="751"/>
      <c r="V20" s="751"/>
      <c r="W20" s="751">
        <f>W21/1000</f>
        <v>0</v>
      </c>
      <c r="X20" s="751">
        <f>X21/1000</f>
        <v>0</v>
      </c>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row>
    <row r="21" spans="2:73" s="35" customFormat="1">
      <c r="B21" s="298"/>
      <c r="C21" s="34"/>
      <c r="E21" s="299" t="s">
        <v>90</v>
      </c>
      <c r="F21" s="299" t="s">
        <v>91</v>
      </c>
      <c r="G21" s="299"/>
      <c r="H21" s="233">
        <v>10422</v>
      </c>
      <c r="I21" s="234">
        <f t="shared" si="1"/>
        <v>78737</v>
      </c>
      <c r="J21" s="270">
        <v>0</v>
      </c>
      <c r="K21" s="270">
        <v>0</v>
      </c>
      <c r="L21" s="270">
        <v>0</v>
      </c>
      <c r="M21" s="1168">
        <v>0</v>
      </c>
      <c r="N21" s="1168">
        <v>0</v>
      </c>
      <c r="O21" s="1168">
        <v>1883.1930021158369</v>
      </c>
      <c r="P21" s="1168">
        <v>7689.7319363118186</v>
      </c>
      <c r="Q21" s="1168">
        <v>0</v>
      </c>
      <c r="R21" s="1168">
        <v>0</v>
      </c>
      <c r="S21" s="1168">
        <v>2835.236411611108</v>
      </c>
      <c r="T21" s="1168">
        <v>60260.120272846405</v>
      </c>
      <c r="U21" s="1168">
        <v>6068.7033671148283</v>
      </c>
      <c r="V21" s="270">
        <v>0</v>
      </c>
      <c r="W21" s="270">
        <v>0</v>
      </c>
      <c r="X21" s="270">
        <v>0</v>
      </c>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row>
    <row r="22" spans="2:73" s="35" customFormat="1">
      <c r="B22" s="298"/>
      <c r="C22" s="34"/>
      <c r="E22" s="299" t="s">
        <v>93</v>
      </c>
      <c r="F22" s="299" t="s">
        <v>94</v>
      </c>
      <c r="G22" s="299"/>
      <c r="H22" s="233">
        <v>10423</v>
      </c>
      <c r="I22" s="234">
        <f t="shared" si="1"/>
        <v>18111</v>
      </c>
      <c r="J22" s="270">
        <v>0</v>
      </c>
      <c r="K22" s="270">
        <v>0</v>
      </c>
      <c r="L22" s="270">
        <v>0</v>
      </c>
      <c r="M22" s="1168">
        <v>0</v>
      </c>
      <c r="N22" s="1168">
        <v>0</v>
      </c>
      <c r="O22" s="1168">
        <v>1998.7485443134117</v>
      </c>
      <c r="P22" s="1168">
        <v>0</v>
      </c>
      <c r="Q22" s="1168">
        <v>0</v>
      </c>
      <c r="R22" s="1168">
        <v>0</v>
      </c>
      <c r="S22" s="1168">
        <v>0</v>
      </c>
      <c r="T22" s="1168">
        <v>1000.2310238122678</v>
      </c>
      <c r="U22" s="1168">
        <v>15112.383921874318</v>
      </c>
      <c r="V22" s="967">
        <v>0</v>
      </c>
      <c r="W22" s="270">
        <v>0</v>
      </c>
      <c r="X22" s="270">
        <v>0</v>
      </c>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row>
    <row r="23" spans="2:73" s="35" customFormat="1">
      <c r="B23" s="302"/>
      <c r="C23" s="303"/>
      <c r="D23" s="304"/>
      <c r="E23" s="305" t="s">
        <v>97</v>
      </c>
      <c r="F23" s="305" t="s">
        <v>98</v>
      </c>
      <c r="G23" s="305"/>
      <c r="H23" s="235">
        <v>10424</v>
      </c>
      <c r="I23" s="236">
        <f t="shared" si="1"/>
        <v>0</v>
      </c>
      <c r="J23" s="272"/>
      <c r="K23" s="272"/>
      <c r="L23" s="272"/>
      <c r="M23" s="272"/>
      <c r="N23" s="272"/>
      <c r="O23" s="272"/>
      <c r="P23" s="272"/>
      <c r="Q23" s="272"/>
      <c r="R23" s="272"/>
      <c r="S23" s="272"/>
      <c r="T23" s="272"/>
      <c r="U23" s="272"/>
      <c r="V23" s="272"/>
      <c r="W23" s="272">
        <f>W22/1000</f>
        <v>0</v>
      </c>
      <c r="X23" s="272"/>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row>
    <row r="24" spans="2:73" s="35" customFormat="1" ht="15.75" thickBot="1">
      <c r="B24" s="752"/>
      <c r="C24" s="753"/>
      <c r="D24" s="754" t="s">
        <v>100</v>
      </c>
      <c r="E24" s="754" t="s">
        <v>101</v>
      </c>
      <c r="F24" s="754"/>
      <c r="G24" s="754"/>
      <c r="H24" s="755">
        <v>10490</v>
      </c>
      <c r="I24" s="756">
        <f t="shared" si="1"/>
        <v>0</v>
      </c>
      <c r="J24" s="757"/>
      <c r="K24" s="757"/>
      <c r="L24" s="757"/>
      <c r="M24" s="757"/>
      <c r="N24" s="757"/>
      <c r="O24" s="757"/>
      <c r="P24" s="757"/>
      <c r="Q24" s="757"/>
      <c r="R24" s="757"/>
      <c r="S24" s="757"/>
      <c r="T24" s="757"/>
      <c r="U24" s="757"/>
      <c r="V24" s="757"/>
      <c r="W24" s="757"/>
      <c r="X24" s="757"/>
      <c r="Y24" s="25"/>
      <c r="Z24" s="25"/>
      <c r="AA24" s="87"/>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row>
    <row r="25" spans="2:73" s="35" customFormat="1">
      <c r="B25" s="287"/>
      <c r="C25" s="288" t="s">
        <v>105</v>
      </c>
      <c r="D25" s="289" t="s">
        <v>106</v>
      </c>
      <c r="E25" s="289"/>
      <c r="F25" s="289"/>
      <c r="G25" s="289"/>
      <c r="H25" s="229">
        <v>10500</v>
      </c>
      <c r="I25" s="230">
        <f t="shared" si="1"/>
        <v>888790</v>
      </c>
      <c r="J25" s="232">
        <f>+SUM(J26:J27)</f>
        <v>45.180168412478096</v>
      </c>
      <c r="K25" s="232">
        <f t="shared" ref="K25:X25" si="4">+SUM(K26:K27)</f>
        <v>0</v>
      </c>
      <c r="L25" s="232">
        <f t="shared" si="4"/>
        <v>0</v>
      </c>
      <c r="M25" s="232">
        <f t="shared" si="4"/>
        <v>8821.6561090169253</v>
      </c>
      <c r="N25" s="232">
        <f t="shared" si="4"/>
        <v>19867.906988827795</v>
      </c>
      <c r="O25" s="232">
        <f t="shared" si="4"/>
        <v>27835.239897339678</v>
      </c>
      <c r="P25" s="232">
        <f t="shared" si="4"/>
        <v>8440.7886211620844</v>
      </c>
      <c r="Q25" s="232">
        <f t="shared" si="4"/>
        <v>207723.60112871166</v>
      </c>
      <c r="R25" s="232">
        <f t="shared" si="4"/>
        <v>455780.3984809462</v>
      </c>
      <c r="S25" s="232">
        <f t="shared" si="4"/>
        <v>30413.419455980315</v>
      </c>
      <c r="T25" s="232">
        <f t="shared" si="4"/>
        <v>44958.887989540795</v>
      </c>
      <c r="U25" s="232">
        <f t="shared" si="4"/>
        <v>84903.310895387127</v>
      </c>
      <c r="V25" s="232">
        <f t="shared" si="4"/>
        <v>0</v>
      </c>
      <c r="W25" s="232">
        <f t="shared" si="4"/>
        <v>0</v>
      </c>
      <c r="X25" s="232">
        <f t="shared" si="4"/>
        <v>0</v>
      </c>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row>
    <row r="26" spans="2:73" s="35" customFormat="1">
      <c r="B26" s="1116"/>
      <c r="C26" s="1117"/>
      <c r="D26" s="1118" t="s">
        <v>84</v>
      </c>
      <c r="E26" s="758" t="s">
        <v>108</v>
      </c>
      <c r="F26" s="758"/>
      <c r="G26" s="758"/>
      <c r="H26" s="747">
        <v>10510</v>
      </c>
      <c r="I26" s="748">
        <f t="shared" si="1"/>
        <v>888790</v>
      </c>
      <c r="J26" s="1173">
        <v>45.180168412478096</v>
      </c>
      <c r="K26" s="1169">
        <v>0</v>
      </c>
      <c r="L26" s="1168">
        <v>0</v>
      </c>
      <c r="M26" s="1168">
        <v>8821.6561090169253</v>
      </c>
      <c r="N26" s="1168">
        <v>19867.906988827795</v>
      </c>
      <c r="O26" s="1168">
        <v>27835.239897339678</v>
      </c>
      <c r="P26" s="1168">
        <v>8440.7886211620844</v>
      </c>
      <c r="Q26" s="1168">
        <v>207723.60112871166</v>
      </c>
      <c r="R26" s="1168">
        <v>455780.3984809462</v>
      </c>
      <c r="S26" s="1168">
        <v>30413.419455980315</v>
      </c>
      <c r="T26" s="1168">
        <v>44958.887989540795</v>
      </c>
      <c r="U26" s="1168">
        <v>84903.310895387127</v>
      </c>
      <c r="V26" s="1168">
        <v>0</v>
      </c>
      <c r="W26" s="1169">
        <v>0</v>
      </c>
      <c r="X26" s="1169"/>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row>
    <row r="27" spans="2:73" s="35" customFormat="1" ht="15.75" thickBot="1">
      <c r="B27" s="752"/>
      <c r="C27" s="753"/>
      <c r="D27" s="754" t="s">
        <v>100</v>
      </c>
      <c r="E27" s="759" t="s">
        <v>112</v>
      </c>
      <c r="F27" s="759"/>
      <c r="G27" s="759"/>
      <c r="H27" s="755">
        <v>10520</v>
      </c>
      <c r="I27" s="756">
        <f t="shared" si="1"/>
        <v>0</v>
      </c>
      <c r="J27" s="1169"/>
      <c r="K27" s="1169"/>
      <c r="L27" s="1169"/>
      <c r="M27" s="1169"/>
      <c r="N27" s="1169"/>
      <c r="O27" s="1169"/>
      <c r="P27" s="1169"/>
      <c r="Q27" s="1169"/>
      <c r="R27" s="1169"/>
      <c r="S27" s="1169"/>
      <c r="T27" s="1169"/>
      <c r="U27" s="1169"/>
      <c r="V27" s="1169"/>
      <c r="W27" s="1169"/>
      <c r="X27" s="1169"/>
      <c r="Y27" s="25"/>
      <c r="Z27" s="25">
        <v>0</v>
      </c>
      <c r="AA27" s="25">
        <v>0</v>
      </c>
      <c r="AB27" s="25">
        <v>0</v>
      </c>
      <c r="AC27" s="25">
        <v>0</v>
      </c>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row>
    <row r="28" spans="2:73" s="35" customFormat="1">
      <c r="B28" s="287"/>
      <c r="C28" s="288" t="s">
        <v>116</v>
      </c>
      <c r="D28" s="289" t="s">
        <v>117</v>
      </c>
      <c r="E28" s="308"/>
      <c r="F28" s="308"/>
      <c r="G28" s="308"/>
      <c r="H28" s="229">
        <v>10700</v>
      </c>
      <c r="I28" s="230">
        <f t="shared" si="1"/>
        <v>0</v>
      </c>
      <c r="J28" s="237">
        <f>+SUM(J29:J30)</f>
        <v>0</v>
      </c>
      <c r="K28" s="237">
        <f t="shared" ref="K28:X28" si="5">+SUM(K29:K30)</f>
        <v>0</v>
      </c>
      <c r="L28" s="237">
        <f t="shared" si="5"/>
        <v>0</v>
      </c>
      <c r="M28" s="237">
        <f t="shared" si="5"/>
        <v>0</v>
      </c>
      <c r="N28" s="237">
        <f t="shared" si="5"/>
        <v>0</v>
      </c>
      <c r="O28" s="237">
        <f t="shared" si="5"/>
        <v>0</v>
      </c>
      <c r="P28" s="237">
        <f t="shared" si="5"/>
        <v>0</v>
      </c>
      <c r="Q28" s="237">
        <f t="shared" si="5"/>
        <v>0</v>
      </c>
      <c r="R28" s="237">
        <f t="shared" si="5"/>
        <v>0</v>
      </c>
      <c r="S28" s="237">
        <f t="shared" si="5"/>
        <v>0</v>
      </c>
      <c r="T28" s="237">
        <f t="shared" si="5"/>
        <v>0</v>
      </c>
      <c r="U28" s="237">
        <f t="shared" si="5"/>
        <v>0</v>
      </c>
      <c r="V28" s="237">
        <f t="shared" si="5"/>
        <v>0</v>
      </c>
      <c r="W28" s="237">
        <f t="shared" si="5"/>
        <v>0</v>
      </c>
      <c r="X28" s="237">
        <f t="shared" si="5"/>
        <v>0</v>
      </c>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row>
    <row r="29" spans="2:73" s="35" customFormat="1" ht="15" customHeight="1">
      <c r="B29" s="1120"/>
      <c r="C29" s="1121"/>
      <c r="D29" s="1124" t="s">
        <v>84</v>
      </c>
      <c r="E29" s="1235" t="s">
        <v>119</v>
      </c>
      <c r="F29" s="1235"/>
      <c r="G29" s="1235"/>
      <c r="H29" s="747">
        <v>10710</v>
      </c>
      <c r="I29" s="748">
        <f t="shared" si="1"/>
        <v>0</v>
      </c>
      <c r="J29" s="1123"/>
      <c r="K29" s="1123"/>
      <c r="L29" s="1123"/>
      <c r="M29" s="1123"/>
      <c r="N29" s="1123"/>
      <c r="O29" s="1123"/>
      <c r="P29" s="1123"/>
      <c r="Q29" s="1123"/>
      <c r="R29" s="1123">
        <v>0</v>
      </c>
      <c r="S29" s="1123">
        <v>0</v>
      </c>
      <c r="T29" s="1123">
        <v>0</v>
      </c>
      <c r="U29" s="1123">
        <v>0</v>
      </c>
      <c r="V29" s="1123">
        <v>0</v>
      </c>
      <c r="W29" s="1123">
        <v>0</v>
      </c>
      <c r="X29" s="1123">
        <v>0</v>
      </c>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row>
    <row r="30" spans="2:73" s="35" customFormat="1" ht="15.75" thickBot="1">
      <c r="B30" s="752"/>
      <c r="C30" s="753"/>
      <c r="D30" s="754" t="s">
        <v>100</v>
      </c>
      <c r="E30" s="759" t="s">
        <v>101</v>
      </c>
      <c r="F30" s="759"/>
      <c r="G30" s="759"/>
      <c r="H30" s="755">
        <v>10790</v>
      </c>
      <c r="I30" s="756">
        <f t="shared" si="1"/>
        <v>0</v>
      </c>
      <c r="J30" s="1123"/>
      <c r="K30" s="1123"/>
      <c r="L30" s="1123"/>
      <c r="M30" s="1123"/>
      <c r="N30" s="1123"/>
      <c r="O30" s="1123"/>
      <c r="P30" s="1123"/>
      <c r="Q30" s="1123"/>
      <c r="R30" s="1123"/>
      <c r="S30" s="1123">
        <v>0</v>
      </c>
      <c r="T30" s="1123">
        <v>0</v>
      </c>
      <c r="U30" s="1123">
        <v>0</v>
      </c>
      <c r="V30" s="1123">
        <v>0</v>
      </c>
      <c r="W30" s="1123">
        <v>0</v>
      </c>
      <c r="X30" s="1123">
        <v>0</v>
      </c>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row>
    <row r="31" spans="2:73" s="35" customFormat="1" ht="15" customHeight="1" thickBot="1">
      <c r="B31" s="310"/>
      <c r="C31" s="311" t="s">
        <v>124</v>
      </c>
      <c r="D31" s="312" t="s">
        <v>249</v>
      </c>
      <c r="E31" s="312"/>
      <c r="F31" s="312"/>
      <c r="G31" s="312"/>
      <c r="H31" s="231">
        <v>10600</v>
      </c>
      <c r="I31" s="238">
        <f t="shared" si="1"/>
        <v>43200</v>
      </c>
      <c r="J31" s="271">
        <v>43200.244939999997</v>
      </c>
      <c r="K31" s="271"/>
      <c r="L31" s="271"/>
      <c r="M31" s="271"/>
      <c r="N31" s="271">
        <v>0</v>
      </c>
      <c r="O31" s="271">
        <v>0</v>
      </c>
      <c r="P31" s="271">
        <v>0</v>
      </c>
      <c r="Q31" s="271">
        <v>0</v>
      </c>
      <c r="R31" s="271">
        <v>0</v>
      </c>
      <c r="S31" s="271">
        <v>0</v>
      </c>
      <c r="T31" s="271">
        <v>0</v>
      </c>
      <c r="U31" s="271">
        <v>0</v>
      </c>
      <c r="V31" s="271">
        <v>0</v>
      </c>
      <c r="W31" s="271">
        <v>0</v>
      </c>
      <c r="X31" s="271">
        <v>0</v>
      </c>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row>
    <row r="32" spans="2:73" s="35" customFormat="1">
      <c r="B32" s="314"/>
      <c r="C32" s="315"/>
      <c r="D32" s="315"/>
      <c r="E32" s="315"/>
      <c r="F32" s="315"/>
      <c r="G32" s="315"/>
      <c r="H32" s="316"/>
      <c r="I32" s="317"/>
      <c r="J32" s="318"/>
      <c r="K32" s="318"/>
      <c r="L32" s="318"/>
      <c r="M32" s="318"/>
      <c r="N32" s="318"/>
      <c r="O32" s="318"/>
      <c r="P32" s="319"/>
      <c r="Q32" s="319"/>
      <c r="R32" s="319"/>
      <c r="S32" s="319"/>
      <c r="T32" s="319"/>
      <c r="U32" s="319"/>
      <c r="V32" s="319"/>
      <c r="W32" s="319"/>
      <c r="X32" s="320"/>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row>
    <row r="33" spans="2:73" s="35" customFormat="1">
      <c r="B33" s="302"/>
      <c r="C33" s="304"/>
      <c r="D33" s="304"/>
      <c r="E33" s="304"/>
      <c r="F33" s="304"/>
      <c r="G33" s="304"/>
      <c r="H33" s="321"/>
      <c r="I33" s="322"/>
      <c r="J33" s="304"/>
      <c r="K33" s="304"/>
      <c r="L33" s="304"/>
      <c r="M33" s="304"/>
      <c r="N33" s="304"/>
      <c r="O33" s="304"/>
      <c r="P33" s="304"/>
      <c r="Q33" s="304"/>
      <c r="R33" s="304"/>
      <c r="S33" s="304"/>
      <c r="T33" s="304"/>
      <c r="U33" s="304"/>
      <c r="V33" s="304"/>
      <c r="W33" s="304"/>
      <c r="X33" s="323"/>
      <c r="Y33" s="25"/>
      <c r="Z33" s="25"/>
      <c r="AA33" s="77"/>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row>
    <row r="34" spans="2:73" s="35" customFormat="1">
      <c r="B34" s="1125" t="s">
        <v>128</v>
      </c>
      <c r="C34" s="1126" t="s">
        <v>4</v>
      </c>
      <c r="D34" s="1127"/>
      <c r="E34" s="1127"/>
      <c r="F34" s="1127"/>
      <c r="G34" s="1127"/>
      <c r="H34" s="760">
        <v>20000</v>
      </c>
      <c r="I34" s="761">
        <f t="shared" ref="I34:I54" si="6">ROUND(SUM(J34:X34),0)</f>
        <v>1189497</v>
      </c>
      <c r="J34" s="1128">
        <f>ROUND(+J35+J42+J43+J44+J48+J51+J54,0)</f>
        <v>36097</v>
      </c>
      <c r="K34" s="1128">
        <f t="shared" ref="K34:X34" si="7">ROUND(+K35+K42+K43+K44+K48+K51+K54,0)</f>
        <v>0</v>
      </c>
      <c r="L34" s="1128">
        <f t="shared" si="7"/>
        <v>28671</v>
      </c>
      <c r="M34" s="1128">
        <f>ROUND(+M35+M42+M43+M44+M48+M51+M54,0)</f>
        <v>197320</v>
      </c>
      <c r="N34" s="1128">
        <f t="shared" si="7"/>
        <v>356505</v>
      </c>
      <c r="O34" s="1128">
        <f t="shared" si="7"/>
        <v>27739</v>
      </c>
      <c r="P34" s="1128">
        <f>ROUND(+P35+P42+P43+P44+P48+P51+P54,0)</f>
        <v>167996</v>
      </c>
      <c r="Q34" s="1128">
        <f>ROUND(+Q35+Q42+Q43+Q44+Q48+Q51+Q54,0)</f>
        <v>0</v>
      </c>
      <c r="R34" s="1128">
        <f t="shared" si="7"/>
        <v>0</v>
      </c>
      <c r="S34" s="1128">
        <f t="shared" si="7"/>
        <v>345169</v>
      </c>
      <c r="T34" s="1128">
        <f t="shared" si="7"/>
        <v>0</v>
      </c>
      <c r="U34" s="1128">
        <f t="shared" si="7"/>
        <v>0</v>
      </c>
      <c r="V34" s="1128">
        <f t="shared" si="7"/>
        <v>0</v>
      </c>
      <c r="W34" s="1128">
        <f t="shared" si="7"/>
        <v>0</v>
      </c>
      <c r="X34" s="1128">
        <f t="shared" si="7"/>
        <v>30000</v>
      </c>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row>
    <row r="35" spans="2:73" s="35" customFormat="1">
      <c r="B35" s="1129"/>
      <c r="C35" s="1130" t="s">
        <v>66</v>
      </c>
      <c r="D35" s="1131" t="s">
        <v>129</v>
      </c>
      <c r="E35" s="1131"/>
      <c r="F35" s="1131"/>
      <c r="G35" s="1131"/>
      <c r="H35" s="760">
        <v>20100</v>
      </c>
      <c r="I35" s="761">
        <f t="shared" si="6"/>
        <v>193801</v>
      </c>
      <c r="J35" s="1132">
        <f t="shared" ref="J35:P35" si="8">+J36+J37+J38</f>
        <v>36097.2857</v>
      </c>
      <c r="K35" s="1132">
        <f t="shared" si="8"/>
        <v>0</v>
      </c>
      <c r="L35" s="1132">
        <f t="shared" si="8"/>
        <v>0</v>
      </c>
      <c r="M35" s="1132">
        <f t="shared" si="8"/>
        <v>742.31956656875445</v>
      </c>
      <c r="N35" s="1132">
        <f t="shared" si="8"/>
        <v>52592.766672223821</v>
      </c>
      <c r="O35" s="1132">
        <f t="shared" si="8"/>
        <v>0</v>
      </c>
      <c r="P35" s="1133">
        <f t="shared" si="8"/>
        <v>104368.44528120745</v>
      </c>
      <c r="Q35" s="1133">
        <f t="shared" ref="Q35:X35" si="9">+Q36+Q37+Q38</f>
        <v>0</v>
      </c>
      <c r="R35" s="1133">
        <f t="shared" si="9"/>
        <v>0</v>
      </c>
      <c r="S35" s="1133">
        <f t="shared" si="9"/>
        <v>0</v>
      </c>
      <c r="T35" s="1133">
        <f t="shared" si="9"/>
        <v>0</v>
      </c>
      <c r="U35" s="1133">
        <f t="shared" si="9"/>
        <v>0</v>
      </c>
      <c r="V35" s="1133">
        <f t="shared" si="9"/>
        <v>0</v>
      </c>
      <c r="W35" s="1133">
        <f t="shared" si="9"/>
        <v>0</v>
      </c>
      <c r="X35" s="1133">
        <f t="shared" si="9"/>
        <v>0</v>
      </c>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row>
    <row r="36" spans="2:73" s="35" customFormat="1">
      <c r="B36" s="1116"/>
      <c r="C36" s="1117"/>
      <c r="D36" s="1118" t="s">
        <v>84</v>
      </c>
      <c r="E36" s="1118" t="s">
        <v>131</v>
      </c>
      <c r="F36" s="1118"/>
      <c r="G36" s="1118"/>
      <c r="H36" s="747">
        <v>20110</v>
      </c>
      <c r="I36" s="748">
        <f>ROUND(SUM(J36:X36),0)</f>
        <v>36097</v>
      </c>
      <c r="J36" s="1158">
        <f>36097285.7/1000</f>
        <v>36097.2857</v>
      </c>
      <c r="K36" s="1123"/>
      <c r="L36" s="1123">
        <v>0</v>
      </c>
      <c r="M36" s="1123"/>
      <c r="N36" s="1123">
        <v>0</v>
      </c>
      <c r="O36" s="1123"/>
      <c r="P36" s="1123">
        <v>0</v>
      </c>
      <c r="Q36" s="1123">
        <v>0</v>
      </c>
      <c r="R36" s="1123">
        <v>0</v>
      </c>
      <c r="S36" s="1123">
        <v>0</v>
      </c>
      <c r="T36" s="1123">
        <v>0</v>
      </c>
      <c r="U36" s="1123">
        <v>0</v>
      </c>
      <c r="V36" s="1123">
        <v>0</v>
      </c>
      <c r="W36" s="1123">
        <v>0</v>
      </c>
      <c r="X36" s="1123">
        <v>0</v>
      </c>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row>
    <row r="37" spans="2:73" s="35" customFormat="1">
      <c r="B37" s="1116"/>
      <c r="C37" s="1117"/>
      <c r="D37" s="1118" t="s">
        <v>100</v>
      </c>
      <c r="E37" s="1118" t="s">
        <v>134</v>
      </c>
      <c r="F37" s="1118"/>
      <c r="G37" s="1118"/>
      <c r="H37" s="747">
        <v>20120</v>
      </c>
      <c r="I37" s="748">
        <f t="shared" si="6"/>
        <v>0</v>
      </c>
      <c r="J37" s="1123"/>
      <c r="K37" s="1123">
        <v>0</v>
      </c>
      <c r="L37" s="1123">
        <v>0</v>
      </c>
      <c r="M37" s="1123">
        <v>0</v>
      </c>
      <c r="N37" s="1123">
        <v>0</v>
      </c>
      <c r="O37" s="1123"/>
      <c r="P37" s="1123">
        <v>0</v>
      </c>
      <c r="Q37" s="1123">
        <v>0</v>
      </c>
      <c r="R37" s="1123">
        <v>0</v>
      </c>
      <c r="S37" s="1123">
        <v>0</v>
      </c>
      <c r="T37" s="1123">
        <v>0</v>
      </c>
      <c r="U37" s="1123">
        <v>0</v>
      </c>
      <c r="V37" s="1123">
        <v>0</v>
      </c>
      <c r="W37" s="1123">
        <v>0</v>
      </c>
      <c r="X37" s="1123">
        <v>0</v>
      </c>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row>
    <row r="38" spans="2:73" s="35" customFormat="1">
      <c r="B38" s="1116"/>
      <c r="C38" s="1117"/>
      <c r="D38" s="1118" t="s">
        <v>137</v>
      </c>
      <c r="E38" s="1118" t="s">
        <v>138</v>
      </c>
      <c r="F38" s="1118"/>
      <c r="G38" s="1118"/>
      <c r="H38" s="747">
        <v>20130</v>
      </c>
      <c r="I38" s="748">
        <f t="shared" si="6"/>
        <v>157704</v>
      </c>
      <c r="J38" s="1119">
        <f>+SUM(J39:J41)</f>
        <v>0</v>
      </c>
      <c r="K38" s="1119">
        <f t="shared" ref="K38:X38" si="10">+SUM(K39:K41)</f>
        <v>0</v>
      </c>
      <c r="L38" s="1119">
        <f t="shared" si="10"/>
        <v>0</v>
      </c>
      <c r="M38" s="1119">
        <f t="shared" si="10"/>
        <v>742.31956656875445</v>
      </c>
      <c r="N38" s="1119">
        <f t="shared" si="10"/>
        <v>52592.766672223821</v>
      </c>
      <c r="O38" s="1119">
        <f t="shared" si="10"/>
        <v>0</v>
      </c>
      <c r="P38" s="1119">
        <f t="shared" si="10"/>
        <v>104368.44528120745</v>
      </c>
      <c r="Q38" s="1119">
        <f t="shared" si="10"/>
        <v>0</v>
      </c>
      <c r="R38" s="1119">
        <f t="shared" si="10"/>
        <v>0</v>
      </c>
      <c r="S38" s="1119">
        <f t="shared" si="10"/>
        <v>0</v>
      </c>
      <c r="T38" s="1119">
        <f t="shared" si="10"/>
        <v>0</v>
      </c>
      <c r="U38" s="1119">
        <f t="shared" si="10"/>
        <v>0</v>
      </c>
      <c r="V38" s="1119">
        <f t="shared" si="10"/>
        <v>0</v>
      </c>
      <c r="W38" s="1119">
        <f t="shared" si="10"/>
        <v>0</v>
      </c>
      <c r="X38" s="1119">
        <f t="shared" si="10"/>
        <v>0</v>
      </c>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row>
    <row r="39" spans="2:73" s="35" customFormat="1">
      <c r="B39" s="1116"/>
      <c r="C39" s="1117"/>
      <c r="D39" s="1118"/>
      <c r="E39" s="1118" t="s">
        <v>87</v>
      </c>
      <c r="F39" s="1118" t="s">
        <v>250</v>
      </c>
      <c r="G39" s="1118"/>
      <c r="H39" s="747">
        <v>20131</v>
      </c>
      <c r="I39" s="748">
        <f t="shared" si="6"/>
        <v>0</v>
      </c>
      <c r="J39" s="1123">
        <v>0</v>
      </c>
      <c r="K39" s="1123">
        <v>0</v>
      </c>
      <c r="L39" s="1123">
        <v>0</v>
      </c>
      <c r="M39" s="1123">
        <v>0</v>
      </c>
      <c r="N39" s="1123">
        <v>0</v>
      </c>
      <c r="O39" s="1123">
        <v>0</v>
      </c>
      <c r="P39" s="1123">
        <v>0</v>
      </c>
      <c r="Q39" s="1123">
        <v>0</v>
      </c>
      <c r="R39" s="1123">
        <v>0</v>
      </c>
      <c r="S39" s="1123">
        <v>0</v>
      </c>
      <c r="T39" s="1123">
        <v>0</v>
      </c>
      <c r="U39" s="1123">
        <v>0</v>
      </c>
      <c r="V39" s="1123">
        <v>0</v>
      </c>
      <c r="W39" s="1123">
        <v>0</v>
      </c>
      <c r="X39" s="1123">
        <v>0</v>
      </c>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row>
    <row r="40" spans="2:73" s="35" customFormat="1">
      <c r="B40" s="1116"/>
      <c r="C40" s="1117"/>
      <c r="D40" s="1118"/>
      <c r="E40" s="1118" t="s">
        <v>90</v>
      </c>
      <c r="F40" s="1118" t="s">
        <v>142</v>
      </c>
      <c r="G40" s="1118"/>
      <c r="H40" s="747">
        <v>20132</v>
      </c>
      <c r="I40" s="748">
        <f t="shared" si="6"/>
        <v>157704</v>
      </c>
      <c r="J40" s="1123"/>
      <c r="K40" s="1123"/>
      <c r="L40" s="762"/>
      <c r="M40" s="1168">
        <v>742.31956656875445</v>
      </c>
      <c r="N40" s="1168">
        <v>52592.766672223821</v>
      </c>
      <c r="O40" s="1168">
        <v>0</v>
      </c>
      <c r="P40" s="1123">
        <v>104368.44528120745</v>
      </c>
      <c r="Q40" s="1123">
        <v>0</v>
      </c>
      <c r="R40" s="1123">
        <v>0</v>
      </c>
      <c r="S40" s="1123">
        <v>0</v>
      </c>
      <c r="T40" s="1123">
        <v>0</v>
      </c>
      <c r="U40" s="1123">
        <v>0</v>
      </c>
      <c r="V40" s="1123">
        <v>0</v>
      </c>
      <c r="W40" s="1123">
        <v>0</v>
      </c>
      <c r="X40" s="1123">
        <v>0</v>
      </c>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row>
    <row r="41" spans="2:73" s="35" customFormat="1">
      <c r="B41" s="1116"/>
      <c r="C41" s="1117"/>
      <c r="D41" s="1118"/>
      <c r="E41" s="1118" t="s">
        <v>93</v>
      </c>
      <c r="F41" s="1118" t="s">
        <v>101</v>
      </c>
      <c r="G41" s="1118"/>
      <c r="H41" s="747">
        <v>20139</v>
      </c>
      <c r="I41" s="748">
        <f>ROUND(SUM(J41:X41),0)</f>
        <v>0</v>
      </c>
      <c r="J41" s="1123"/>
      <c r="K41" s="1123"/>
      <c r="L41" s="1123"/>
      <c r="M41" s="1123"/>
      <c r="N41" s="1123"/>
      <c r="O41" s="1123"/>
      <c r="P41" s="1123"/>
      <c r="Q41" s="1123"/>
      <c r="R41" s="1123"/>
      <c r="S41" s="1123"/>
      <c r="T41" s="1123"/>
      <c r="U41" s="1123"/>
      <c r="V41" s="1123"/>
      <c r="W41" s="1123"/>
      <c r="X41" s="1123"/>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row>
    <row r="42" spans="2:73" s="35" customFormat="1">
      <c r="B42" s="1129"/>
      <c r="C42" s="1130" t="s">
        <v>73</v>
      </c>
      <c r="D42" s="1131" t="s">
        <v>147</v>
      </c>
      <c r="E42" s="1131"/>
      <c r="F42" s="1131"/>
      <c r="G42" s="1131"/>
      <c r="H42" s="760">
        <v>20200</v>
      </c>
      <c r="I42" s="761">
        <f t="shared" si="6"/>
        <v>0</v>
      </c>
      <c r="J42" s="1123"/>
      <c r="K42" s="1123"/>
      <c r="L42" s="1123"/>
      <c r="M42" s="1123"/>
      <c r="N42" s="1123"/>
      <c r="O42" s="1123"/>
      <c r="P42" s="1123"/>
      <c r="Q42" s="1123"/>
      <c r="R42" s="1123"/>
      <c r="S42" s="1123"/>
      <c r="T42" s="1123"/>
      <c r="U42" s="1123"/>
      <c r="V42" s="1123"/>
      <c r="W42" s="1123"/>
      <c r="X42" s="1123"/>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row>
    <row r="43" spans="2:73" s="35" customFormat="1">
      <c r="B43" s="1129"/>
      <c r="C43" s="1130" t="s">
        <v>77</v>
      </c>
      <c r="D43" s="1131" t="s">
        <v>150</v>
      </c>
      <c r="E43" s="1131"/>
      <c r="F43" s="1131"/>
      <c r="G43" s="1131"/>
      <c r="H43" s="760">
        <v>20300</v>
      </c>
      <c r="I43" s="761">
        <f t="shared" si="6"/>
        <v>991773</v>
      </c>
      <c r="J43" s="1168">
        <v>0</v>
      </c>
      <c r="K43" s="1168">
        <v>0</v>
      </c>
      <c r="L43" s="1168">
        <f>48670.6316735322-20000</f>
        <v>28670.631673532203</v>
      </c>
      <c r="M43" s="1168">
        <v>192654.58370773174</v>
      </c>
      <c r="N43" s="1168">
        <f>283912.018095605+20000</f>
        <v>303912.01809560502</v>
      </c>
      <c r="O43" s="1168">
        <v>27738.612478608982</v>
      </c>
      <c r="P43" s="1168">
        <v>63627.900171044617</v>
      </c>
      <c r="Q43" s="1168">
        <v>0</v>
      </c>
      <c r="R43" s="1168">
        <v>0</v>
      </c>
      <c r="S43" s="1168">
        <f>344750.30768752+419.14</f>
        <v>345169.44768752001</v>
      </c>
      <c r="T43" s="1168">
        <v>0</v>
      </c>
      <c r="U43" s="1168">
        <v>0</v>
      </c>
      <c r="V43" s="1168">
        <v>0</v>
      </c>
      <c r="W43" s="1168">
        <v>0</v>
      </c>
      <c r="X43" s="1168">
        <v>30000</v>
      </c>
      <c r="Y43" s="25"/>
      <c r="Z43" s="30"/>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row>
    <row r="44" spans="2:73" s="35" customFormat="1">
      <c r="B44" s="1129"/>
      <c r="C44" s="1130" t="s">
        <v>81</v>
      </c>
      <c r="D44" s="1131" t="s">
        <v>153</v>
      </c>
      <c r="E44" s="1131"/>
      <c r="F44" s="1131"/>
      <c r="G44" s="1131"/>
      <c r="H44" s="760">
        <v>20400</v>
      </c>
      <c r="I44" s="761">
        <f t="shared" si="6"/>
        <v>0</v>
      </c>
      <c r="J44" s="1132">
        <f>+SUM(J45:J47)</f>
        <v>0</v>
      </c>
      <c r="K44" s="1132">
        <f t="shared" ref="K44:X44" si="11">+SUM(K45:K47)</f>
        <v>0</v>
      </c>
      <c r="L44" s="1132">
        <f t="shared" si="11"/>
        <v>0</v>
      </c>
      <c r="M44" s="1132">
        <f t="shared" si="11"/>
        <v>0</v>
      </c>
      <c r="N44" s="1132">
        <f t="shared" si="11"/>
        <v>0</v>
      </c>
      <c r="O44" s="1132">
        <f t="shared" si="11"/>
        <v>0</v>
      </c>
      <c r="P44" s="1132">
        <f t="shared" si="11"/>
        <v>0</v>
      </c>
      <c r="Q44" s="1132">
        <f t="shared" si="11"/>
        <v>0</v>
      </c>
      <c r="R44" s="1132">
        <f t="shared" si="11"/>
        <v>0</v>
      </c>
      <c r="S44" s="1132">
        <f t="shared" si="11"/>
        <v>0</v>
      </c>
      <c r="T44" s="1132">
        <f t="shared" si="11"/>
        <v>0</v>
      </c>
      <c r="U44" s="1132">
        <f t="shared" si="11"/>
        <v>0</v>
      </c>
      <c r="V44" s="1132">
        <f t="shared" si="11"/>
        <v>0</v>
      </c>
      <c r="W44" s="1132">
        <f t="shared" si="11"/>
        <v>0</v>
      </c>
      <c r="X44" s="1132">
        <f t="shared" si="11"/>
        <v>0</v>
      </c>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row>
    <row r="45" spans="2:73" s="35" customFormat="1">
      <c r="B45" s="1116"/>
      <c r="C45" s="1117"/>
      <c r="D45" s="1118" t="s">
        <v>84</v>
      </c>
      <c r="E45" s="1118" t="s">
        <v>155</v>
      </c>
      <c r="F45" s="1118"/>
      <c r="G45" s="1118"/>
      <c r="H45" s="747">
        <v>20410</v>
      </c>
      <c r="I45" s="748">
        <f t="shared" si="6"/>
        <v>0</v>
      </c>
      <c r="J45" s="762"/>
      <c r="K45" s="1123"/>
      <c r="L45" s="762"/>
      <c r="M45" s="762"/>
      <c r="N45" s="762"/>
      <c r="O45" s="1123"/>
      <c r="P45" s="1123"/>
      <c r="Q45" s="1123"/>
      <c r="R45" s="1123"/>
      <c r="S45" s="1123"/>
      <c r="T45" s="762"/>
      <c r="U45" s="1123"/>
      <c r="V45" s="1123"/>
      <c r="W45" s="1123"/>
      <c r="X45" s="1123"/>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row>
    <row r="46" spans="2:73" s="35" customFormat="1">
      <c r="B46" s="1116"/>
      <c r="C46" s="1117"/>
      <c r="D46" s="1118" t="s">
        <v>100</v>
      </c>
      <c r="E46" s="1118" t="s">
        <v>157</v>
      </c>
      <c r="F46" s="1118"/>
      <c r="G46" s="1118"/>
      <c r="H46" s="747">
        <v>20420</v>
      </c>
      <c r="I46" s="748">
        <f t="shared" si="6"/>
        <v>0</v>
      </c>
      <c r="J46" s="1123"/>
      <c r="K46" s="1123"/>
      <c r="L46" s="1123"/>
      <c r="M46" s="1123"/>
      <c r="N46" s="1123"/>
      <c r="O46" s="1123"/>
      <c r="P46" s="1123"/>
      <c r="Q46" s="1123"/>
      <c r="R46" s="1123"/>
      <c r="S46" s="1123"/>
      <c r="T46" s="1123"/>
      <c r="U46" s="1123"/>
      <c r="V46" s="1123"/>
      <c r="W46" s="1123"/>
      <c r="X46" s="1123"/>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row>
    <row r="47" spans="2:73" s="35" customFormat="1">
      <c r="B47" s="1116"/>
      <c r="C47" s="1117"/>
      <c r="D47" s="1118" t="s">
        <v>137</v>
      </c>
      <c r="E47" s="1118" t="s">
        <v>101</v>
      </c>
      <c r="F47" s="1118"/>
      <c r="G47" s="1118"/>
      <c r="H47" s="747">
        <v>20490</v>
      </c>
      <c r="I47" s="748">
        <f t="shared" si="6"/>
        <v>0</v>
      </c>
      <c r="J47" s="1123">
        <v>0</v>
      </c>
      <c r="K47" s="1123">
        <v>0</v>
      </c>
      <c r="L47" s="1123">
        <v>0</v>
      </c>
      <c r="M47" s="1123">
        <v>0</v>
      </c>
      <c r="N47" s="1123">
        <v>0</v>
      </c>
      <c r="O47" s="1123">
        <v>0</v>
      </c>
      <c r="P47" s="1123">
        <v>0</v>
      </c>
      <c r="Q47" s="1123">
        <v>0</v>
      </c>
      <c r="R47" s="1123">
        <v>0</v>
      </c>
      <c r="S47" s="1123">
        <v>0</v>
      </c>
      <c r="T47" s="1123">
        <v>0</v>
      </c>
      <c r="U47" s="1123">
        <v>0</v>
      </c>
      <c r="V47" s="1123">
        <v>0</v>
      </c>
      <c r="W47" s="1123">
        <v>0</v>
      </c>
      <c r="X47" s="1123">
        <v>0</v>
      </c>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row>
    <row r="48" spans="2:73" s="35" customFormat="1">
      <c r="B48" s="1129"/>
      <c r="C48" s="1130" t="s">
        <v>105</v>
      </c>
      <c r="D48" s="1131" t="s">
        <v>160</v>
      </c>
      <c r="E48" s="1131"/>
      <c r="F48" s="1131"/>
      <c r="G48" s="1131"/>
      <c r="H48" s="760">
        <v>20500</v>
      </c>
      <c r="I48" s="761">
        <f t="shared" si="6"/>
        <v>0</v>
      </c>
      <c r="J48" s="1132">
        <f>+SUM(J49:J50)</f>
        <v>0</v>
      </c>
      <c r="K48" s="1132">
        <f t="shared" ref="K48:X48" si="12">+SUM(K49:K50)</f>
        <v>0</v>
      </c>
      <c r="L48" s="1132">
        <f t="shared" si="12"/>
        <v>0</v>
      </c>
      <c r="M48" s="1132">
        <f t="shared" si="12"/>
        <v>0</v>
      </c>
      <c r="N48" s="1132">
        <f t="shared" si="12"/>
        <v>0</v>
      </c>
      <c r="O48" s="1132">
        <f t="shared" si="12"/>
        <v>0</v>
      </c>
      <c r="P48" s="1132">
        <f t="shared" si="12"/>
        <v>0</v>
      </c>
      <c r="Q48" s="1132">
        <f t="shared" si="12"/>
        <v>0</v>
      </c>
      <c r="R48" s="1132">
        <f t="shared" si="12"/>
        <v>0</v>
      </c>
      <c r="S48" s="1132">
        <f t="shared" si="12"/>
        <v>0</v>
      </c>
      <c r="T48" s="1132">
        <f t="shared" si="12"/>
        <v>0</v>
      </c>
      <c r="U48" s="1132">
        <f t="shared" si="12"/>
        <v>0</v>
      </c>
      <c r="V48" s="1132">
        <f t="shared" si="12"/>
        <v>0</v>
      </c>
      <c r="W48" s="1132">
        <f t="shared" si="12"/>
        <v>0</v>
      </c>
      <c r="X48" s="1132">
        <f t="shared" si="12"/>
        <v>0</v>
      </c>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row>
    <row r="49" spans="2:73" s="35" customFormat="1">
      <c r="B49" s="1116"/>
      <c r="C49" s="1117"/>
      <c r="D49" s="1118" t="s">
        <v>84</v>
      </c>
      <c r="E49" s="1118" t="s">
        <v>162</v>
      </c>
      <c r="F49" s="1118"/>
      <c r="G49" s="1118"/>
      <c r="H49" s="747">
        <v>20510</v>
      </c>
      <c r="I49" s="748">
        <f t="shared" si="6"/>
        <v>0</v>
      </c>
      <c r="J49" s="1123">
        <v>0</v>
      </c>
      <c r="K49" s="1123">
        <v>0</v>
      </c>
      <c r="L49" s="1123">
        <v>0</v>
      </c>
      <c r="M49" s="1123">
        <v>0</v>
      </c>
      <c r="N49" s="1123">
        <v>0</v>
      </c>
      <c r="O49" s="1123">
        <v>0</v>
      </c>
      <c r="P49" s="1123">
        <v>0</v>
      </c>
      <c r="Q49" s="1123">
        <v>0</v>
      </c>
      <c r="R49" s="1123">
        <v>0</v>
      </c>
      <c r="S49" s="1123">
        <v>0</v>
      </c>
      <c r="T49" s="1123">
        <v>0</v>
      </c>
      <c r="U49" s="1123">
        <v>0</v>
      </c>
      <c r="V49" s="1123">
        <v>0</v>
      </c>
      <c r="W49" s="1123">
        <v>0</v>
      </c>
      <c r="X49" s="1123">
        <v>0</v>
      </c>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row>
    <row r="50" spans="2:73" s="35" customFormat="1">
      <c r="B50" s="1116"/>
      <c r="C50" s="1117"/>
      <c r="D50" s="1118" t="s">
        <v>100</v>
      </c>
      <c r="E50" s="1118" t="s">
        <v>101</v>
      </c>
      <c r="F50" s="1118"/>
      <c r="G50" s="1118"/>
      <c r="H50" s="747">
        <v>20590</v>
      </c>
      <c r="I50" s="748">
        <f t="shared" si="6"/>
        <v>0</v>
      </c>
      <c r="J50" s="1123">
        <v>0</v>
      </c>
      <c r="K50" s="1123">
        <v>0</v>
      </c>
      <c r="L50" s="1123">
        <v>0</v>
      </c>
      <c r="M50" s="1123">
        <v>0</v>
      </c>
      <c r="N50" s="1123">
        <v>0</v>
      </c>
      <c r="O50" s="1123">
        <v>0</v>
      </c>
      <c r="P50" s="1123">
        <v>0</v>
      </c>
      <c r="Q50" s="1123">
        <v>0</v>
      </c>
      <c r="R50" s="1123">
        <v>0</v>
      </c>
      <c r="S50" s="1123">
        <v>0</v>
      </c>
      <c r="T50" s="1123">
        <v>0</v>
      </c>
      <c r="U50" s="1123">
        <v>0</v>
      </c>
      <c r="V50" s="1123">
        <v>0</v>
      </c>
      <c r="W50" s="1123">
        <v>0</v>
      </c>
      <c r="X50" s="1123">
        <v>0</v>
      </c>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row>
    <row r="51" spans="2:73" s="35" customFormat="1">
      <c r="B51" s="1129"/>
      <c r="C51" s="1130" t="s">
        <v>116</v>
      </c>
      <c r="D51" s="1131" t="s">
        <v>167</v>
      </c>
      <c r="E51" s="1131"/>
      <c r="F51" s="1131"/>
      <c r="G51" s="1131"/>
      <c r="H51" s="760">
        <v>20700</v>
      </c>
      <c r="I51" s="761">
        <f t="shared" si="6"/>
        <v>0</v>
      </c>
      <c r="J51" s="1135">
        <f>+SUM(J52:J53)</f>
        <v>0</v>
      </c>
      <c r="K51" s="1135">
        <f t="shared" ref="K51:X51" si="13">+SUM(K52:K53)</f>
        <v>0</v>
      </c>
      <c r="L51" s="1135">
        <f t="shared" si="13"/>
        <v>0</v>
      </c>
      <c r="M51" s="1135">
        <f t="shared" si="13"/>
        <v>0</v>
      </c>
      <c r="N51" s="1135">
        <f t="shared" si="13"/>
        <v>0</v>
      </c>
      <c r="O51" s="1135">
        <f t="shared" si="13"/>
        <v>0</v>
      </c>
      <c r="P51" s="1135">
        <f t="shared" si="13"/>
        <v>0</v>
      </c>
      <c r="Q51" s="1135">
        <f t="shared" si="13"/>
        <v>0</v>
      </c>
      <c r="R51" s="1135">
        <f t="shared" si="13"/>
        <v>0</v>
      </c>
      <c r="S51" s="1135">
        <f t="shared" si="13"/>
        <v>0</v>
      </c>
      <c r="T51" s="1135">
        <f t="shared" si="13"/>
        <v>0</v>
      </c>
      <c r="U51" s="1135">
        <f t="shared" si="13"/>
        <v>0</v>
      </c>
      <c r="V51" s="1135">
        <f t="shared" si="13"/>
        <v>0</v>
      </c>
      <c r="W51" s="1135">
        <f t="shared" si="13"/>
        <v>0</v>
      </c>
      <c r="X51" s="1135">
        <f t="shared" si="13"/>
        <v>0</v>
      </c>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row>
    <row r="52" spans="2:73" s="35" customFormat="1" ht="15" customHeight="1">
      <c r="B52" s="1116"/>
      <c r="C52" s="1117"/>
      <c r="D52" s="1118" t="s">
        <v>84</v>
      </c>
      <c r="E52" s="1236" t="s">
        <v>170</v>
      </c>
      <c r="F52" s="1236"/>
      <c r="G52" s="1236"/>
      <c r="H52" s="747">
        <v>20710</v>
      </c>
      <c r="I52" s="748">
        <f t="shared" si="6"/>
        <v>0</v>
      </c>
      <c r="J52" s="1123">
        <v>0</v>
      </c>
      <c r="K52" s="1123">
        <v>0</v>
      </c>
      <c r="L52" s="1123">
        <v>0</v>
      </c>
      <c r="M52" s="1123">
        <v>0</v>
      </c>
      <c r="N52" s="1123">
        <v>0</v>
      </c>
      <c r="O52" s="1123">
        <v>0</v>
      </c>
      <c r="P52" s="1123">
        <v>0</v>
      </c>
      <c r="Q52" s="1123">
        <v>0</v>
      </c>
      <c r="R52" s="1123">
        <v>0</v>
      </c>
      <c r="S52" s="1123">
        <v>0</v>
      </c>
      <c r="T52" s="1123">
        <v>0</v>
      </c>
      <c r="U52" s="1123">
        <v>0</v>
      </c>
      <c r="V52" s="1123">
        <v>0</v>
      </c>
      <c r="W52" s="1123">
        <v>0</v>
      </c>
      <c r="X52" s="1123">
        <v>0</v>
      </c>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row>
    <row r="53" spans="2:73" s="35" customFormat="1">
      <c r="B53" s="1116"/>
      <c r="C53" s="1117"/>
      <c r="D53" s="1118" t="s">
        <v>100</v>
      </c>
      <c r="E53" s="1118" t="s">
        <v>101</v>
      </c>
      <c r="F53" s="1118"/>
      <c r="G53" s="1118"/>
      <c r="H53" s="747">
        <v>20790</v>
      </c>
      <c r="I53" s="748">
        <f t="shared" si="6"/>
        <v>0</v>
      </c>
      <c r="J53" s="1123">
        <v>0</v>
      </c>
      <c r="K53" s="1123">
        <v>0</v>
      </c>
      <c r="L53" s="1123">
        <v>0</v>
      </c>
      <c r="M53" s="1123">
        <v>0</v>
      </c>
      <c r="N53" s="1123">
        <v>0</v>
      </c>
      <c r="O53" s="1123">
        <v>0</v>
      </c>
      <c r="P53" s="1123">
        <v>0</v>
      </c>
      <c r="Q53" s="1123">
        <v>0</v>
      </c>
      <c r="R53" s="1123">
        <v>0</v>
      </c>
      <c r="S53" s="1123">
        <v>0</v>
      </c>
      <c r="T53" s="1123">
        <v>0</v>
      </c>
      <c r="U53" s="1123">
        <v>0</v>
      </c>
      <c r="V53" s="1123">
        <v>0</v>
      </c>
      <c r="W53" s="1123">
        <v>0</v>
      </c>
      <c r="X53" s="1123">
        <v>0</v>
      </c>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row>
    <row r="54" spans="2:73" s="35" customFormat="1" ht="15" customHeight="1" thickBot="1">
      <c r="B54" s="763"/>
      <c r="C54" s="764" t="s">
        <v>124</v>
      </c>
      <c r="D54" s="765" t="s">
        <v>249</v>
      </c>
      <c r="E54" s="765"/>
      <c r="F54" s="765"/>
      <c r="G54" s="765"/>
      <c r="H54" s="766">
        <v>20600</v>
      </c>
      <c r="I54" s="767">
        <f t="shared" si="6"/>
        <v>3923</v>
      </c>
      <c r="J54" s="1123"/>
      <c r="K54" s="1123"/>
      <c r="L54" s="1123"/>
      <c r="M54" s="739">
        <v>3922.9929299999899</v>
      </c>
      <c r="N54" s="1123"/>
      <c r="O54" s="1123"/>
      <c r="P54" s="1123">
        <v>0</v>
      </c>
      <c r="Q54" s="1123">
        <v>0</v>
      </c>
      <c r="R54" s="1123">
        <v>0</v>
      </c>
      <c r="S54" s="1123">
        <v>0</v>
      </c>
      <c r="T54" s="1123">
        <v>0</v>
      </c>
      <c r="U54" s="1123">
        <v>0</v>
      </c>
      <c r="V54" s="1123">
        <v>0</v>
      </c>
      <c r="W54" s="1123">
        <v>0</v>
      </c>
      <c r="X54" s="1123">
        <v>0</v>
      </c>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row>
    <row r="55" spans="2:73" ht="15.75" thickBot="1">
      <c r="B55" s="324"/>
      <c r="C55" s="325"/>
      <c r="D55" s="325"/>
      <c r="E55" s="325"/>
      <c r="F55" s="325"/>
      <c r="G55" s="325"/>
      <c r="H55" s="239"/>
      <c r="I55" s="240"/>
      <c r="J55" s="241"/>
      <c r="K55" s="241"/>
      <c r="L55" s="241"/>
      <c r="M55" s="241"/>
      <c r="N55" s="241"/>
      <c r="O55" s="241"/>
      <c r="P55" s="242"/>
      <c r="Q55" s="242"/>
      <c r="R55" s="242"/>
      <c r="S55" s="242"/>
      <c r="T55" s="242"/>
      <c r="U55" s="242"/>
      <c r="V55" s="242"/>
      <c r="W55" s="242"/>
      <c r="X55" s="320"/>
    </row>
    <row r="56" spans="2:73" ht="15.75" thickBot="1">
      <c r="B56" s="330" t="s">
        <v>251</v>
      </c>
      <c r="C56" s="331"/>
      <c r="D56" s="331"/>
      <c r="E56" s="331"/>
      <c r="F56" s="331"/>
      <c r="G56" s="331"/>
      <c r="H56" s="231">
        <v>30000</v>
      </c>
      <c r="I56" s="238">
        <f>ROUND(SUM(J56:X56),0)</f>
        <v>0</v>
      </c>
      <c r="J56" s="243">
        <f t="shared" ref="J56:X56" si="14">+J14-J34</f>
        <v>52349</v>
      </c>
      <c r="K56" s="243">
        <f t="shared" si="14"/>
        <v>0</v>
      </c>
      <c r="L56" s="243">
        <f t="shared" si="14"/>
        <v>-28671</v>
      </c>
      <c r="M56" s="243">
        <f t="shared" si="14"/>
        <v>-188498</v>
      </c>
      <c r="N56" s="243">
        <f t="shared" si="14"/>
        <v>-336637</v>
      </c>
      <c r="O56" s="243">
        <f t="shared" si="14"/>
        <v>3978</v>
      </c>
      <c r="P56" s="243">
        <f t="shared" si="14"/>
        <v>-151865</v>
      </c>
      <c r="Q56" s="243">
        <f t="shared" si="14"/>
        <v>207724</v>
      </c>
      <c r="R56" s="243">
        <f t="shared" si="14"/>
        <v>455780</v>
      </c>
      <c r="S56" s="243">
        <f t="shared" si="14"/>
        <v>-196463</v>
      </c>
      <c r="T56" s="243">
        <f t="shared" si="14"/>
        <v>106219</v>
      </c>
      <c r="U56" s="243">
        <f t="shared" si="14"/>
        <v>106084</v>
      </c>
      <c r="V56" s="243">
        <f t="shared" si="14"/>
        <v>0</v>
      </c>
      <c r="W56" s="243">
        <f t="shared" si="14"/>
        <v>0</v>
      </c>
      <c r="X56" s="243">
        <f t="shared" si="14"/>
        <v>-30000</v>
      </c>
    </row>
    <row r="57" spans="2:73" ht="15.75" thickBot="1">
      <c r="B57" s="333"/>
      <c r="C57" s="325"/>
      <c r="D57" s="325"/>
      <c r="E57" s="325"/>
      <c r="F57" s="325"/>
      <c r="G57" s="325"/>
      <c r="H57" s="334"/>
      <c r="I57" s="244"/>
      <c r="J57" s="245"/>
      <c r="K57" s="245"/>
      <c r="L57" s="245"/>
      <c r="M57" s="245"/>
      <c r="N57" s="245"/>
      <c r="O57" s="245"/>
      <c r="P57" s="246"/>
      <c r="Q57" s="246"/>
      <c r="R57" s="246"/>
      <c r="S57" s="246"/>
      <c r="T57" s="246"/>
      <c r="U57" s="246"/>
      <c r="V57" s="246"/>
      <c r="W57" s="246"/>
      <c r="X57" s="247"/>
    </row>
    <row r="58" spans="2:73" s="36" customFormat="1">
      <c r="B58" s="339" t="s">
        <v>176</v>
      </c>
      <c r="C58" s="340" t="s">
        <v>177</v>
      </c>
      <c r="D58" s="341"/>
      <c r="E58" s="341"/>
      <c r="F58" s="341"/>
      <c r="G58" s="341"/>
      <c r="H58" s="279"/>
      <c r="I58" s="248"/>
      <c r="J58" s="249"/>
      <c r="K58" s="249"/>
      <c r="L58" s="249"/>
      <c r="M58" s="250"/>
      <c r="N58" s="249"/>
      <c r="O58" s="250"/>
      <c r="P58" s="251"/>
      <c r="Q58" s="249"/>
      <c r="R58" s="249"/>
      <c r="S58" s="249"/>
      <c r="T58" s="249"/>
      <c r="U58" s="249"/>
      <c r="V58" s="249"/>
      <c r="W58" s="249"/>
      <c r="X58" s="249"/>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row>
    <row r="59" spans="2:73">
      <c r="B59" s="1136" t="s">
        <v>65</v>
      </c>
      <c r="C59" s="1137" t="s">
        <v>181</v>
      </c>
      <c r="D59" s="1138"/>
      <c r="E59" s="1137"/>
      <c r="F59" s="1137"/>
      <c r="G59" s="1137"/>
      <c r="H59" s="768">
        <v>40000</v>
      </c>
      <c r="I59" s="761">
        <f t="shared" ref="I59:I66" si="15">ROUND(SUM(J59:X59),0)</f>
        <v>0</v>
      </c>
      <c r="J59" s="769">
        <f>+J60+J66</f>
        <v>0</v>
      </c>
      <c r="K59" s="769">
        <f t="shared" ref="K59:X59" si="16">+K60+K66</f>
        <v>0</v>
      </c>
      <c r="L59" s="769">
        <f t="shared" si="16"/>
        <v>0</v>
      </c>
      <c r="M59" s="769">
        <f t="shared" si="16"/>
        <v>0</v>
      </c>
      <c r="N59" s="769">
        <f t="shared" si="16"/>
        <v>0</v>
      </c>
      <c r="O59" s="769">
        <f t="shared" si="16"/>
        <v>0</v>
      </c>
      <c r="P59" s="770">
        <f t="shared" si="16"/>
        <v>0</v>
      </c>
      <c r="Q59" s="770">
        <f t="shared" si="16"/>
        <v>0</v>
      </c>
      <c r="R59" s="770">
        <f t="shared" si="16"/>
        <v>0</v>
      </c>
      <c r="S59" s="770">
        <f t="shared" si="16"/>
        <v>0</v>
      </c>
      <c r="T59" s="770">
        <f t="shared" si="16"/>
        <v>0</v>
      </c>
      <c r="U59" s="770">
        <f t="shared" si="16"/>
        <v>0</v>
      </c>
      <c r="V59" s="770">
        <f t="shared" si="16"/>
        <v>0</v>
      </c>
      <c r="W59" s="770">
        <f t="shared" si="16"/>
        <v>0</v>
      </c>
      <c r="X59" s="770">
        <f t="shared" si="16"/>
        <v>0</v>
      </c>
    </row>
    <row r="60" spans="2:73">
      <c r="B60" s="1139"/>
      <c r="C60" s="1140" t="s">
        <v>66</v>
      </c>
      <c r="D60" s="1138" t="s">
        <v>182</v>
      </c>
      <c r="E60" s="1138"/>
      <c r="F60" s="1138"/>
      <c r="G60" s="1138"/>
      <c r="H60" s="768">
        <v>40100</v>
      </c>
      <c r="I60" s="771">
        <f t="shared" si="15"/>
        <v>0</v>
      </c>
      <c r="J60" s="772">
        <f>+J61+J62+J65</f>
        <v>0</v>
      </c>
      <c r="K60" s="772">
        <f t="shared" ref="K60:X60" si="17">+K61+K62+K65</f>
        <v>0</v>
      </c>
      <c r="L60" s="772">
        <f t="shared" si="17"/>
        <v>0</v>
      </c>
      <c r="M60" s="772">
        <f t="shared" si="17"/>
        <v>0</v>
      </c>
      <c r="N60" s="772">
        <f t="shared" si="17"/>
        <v>0</v>
      </c>
      <c r="O60" s="772">
        <f t="shared" si="17"/>
        <v>0</v>
      </c>
      <c r="P60" s="772">
        <f t="shared" si="17"/>
        <v>0</v>
      </c>
      <c r="Q60" s="772">
        <f t="shared" si="17"/>
        <v>0</v>
      </c>
      <c r="R60" s="772">
        <f t="shared" si="17"/>
        <v>0</v>
      </c>
      <c r="S60" s="772">
        <f t="shared" si="17"/>
        <v>0</v>
      </c>
      <c r="T60" s="772">
        <f t="shared" si="17"/>
        <v>0</v>
      </c>
      <c r="U60" s="772">
        <f t="shared" si="17"/>
        <v>0</v>
      </c>
      <c r="V60" s="772">
        <f t="shared" si="17"/>
        <v>0</v>
      </c>
      <c r="W60" s="772">
        <f t="shared" si="17"/>
        <v>0</v>
      </c>
      <c r="X60" s="772">
        <f t="shared" si="17"/>
        <v>0</v>
      </c>
    </row>
    <row r="61" spans="2:73" s="37" customFormat="1">
      <c r="B61" s="1141"/>
      <c r="C61" s="1142"/>
      <c r="D61" s="1142" t="s">
        <v>84</v>
      </c>
      <c r="E61" s="1143" t="s">
        <v>184</v>
      </c>
      <c r="F61" s="1143"/>
      <c r="G61" s="1143"/>
      <c r="H61" s="1144">
        <v>40110</v>
      </c>
      <c r="I61" s="1145">
        <f t="shared" si="15"/>
        <v>0</v>
      </c>
      <c r="J61" s="773">
        <v>0</v>
      </c>
      <c r="K61" s="773"/>
      <c r="L61" s="773">
        <v>0</v>
      </c>
      <c r="M61" s="773">
        <v>0</v>
      </c>
      <c r="N61" s="773">
        <v>0</v>
      </c>
      <c r="O61" s="773">
        <v>0</v>
      </c>
      <c r="P61" s="773">
        <v>0</v>
      </c>
      <c r="Q61" s="773">
        <v>0</v>
      </c>
      <c r="R61" s="773">
        <v>0</v>
      </c>
      <c r="S61" s="773">
        <v>0</v>
      </c>
      <c r="T61" s="773">
        <v>0</v>
      </c>
      <c r="U61" s="773">
        <v>0</v>
      </c>
      <c r="V61" s="773">
        <v>0</v>
      </c>
      <c r="W61" s="773">
        <v>0</v>
      </c>
      <c r="X61" s="773">
        <v>0</v>
      </c>
      <c r="Y61" s="27"/>
      <c r="Z61" s="27"/>
      <c r="AA61" s="25"/>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row>
    <row r="62" spans="2:73" s="37" customFormat="1">
      <c r="B62" s="1141"/>
      <c r="C62" s="1142"/>
      <c r="D62" s="1142" t="s">
        <v>100</v>
      </c>
      <c r="E62" s="1143" t="s">
        <v>188</v>
      </c>
      <c r="F62" s="1143"/>
      <c r="G62" s="1143"/>
      <c r="H62" s="1144">
        <v>40120</v>
      </c>
      <c r="I62" s="1145">
        <f t="shared" si="15"/>
        <v>0</v>
      </c>
      <c r="J62" s="774">
        <f>+J63+J64</f>
        <v>0</v>
      </c>
      <c r="K62" s="774">
        <f t="shared" ref="K62:X62" si="18">+K63+K64</f>
        <v>0</v>
      </c>
      <c r="L62" s="774">
        <f t="shared" si="18"/>
        <v>0</v>
      </c>
      <c r="M62" s="774">
        <f t="shared" si="18"/>
        <v>0</v>
      </c>
      <c r="N62" s="774">
        <f t="shared" si="18"/>
        <v>0</v>
      </c>
      <c r="O62" s="774">
        <f t="shared" si="18"/>
        <v>0</v>
      </c>
      <c r="P62" s="774">
        <f t="shared" si="18"/>
        <v>0</v>
      </c>
      <c r="Q62" s="774">
        <f t="shared" si="18"/>
        <v>0</v>
      </c>
      <c r="R62" s="774">
        <f t="shared" si="18"/>
        <v>0</v>
      </c>
      <c r="S62" s="774">
        <f t="shared" si="18"/>
        <v>0</v>
      </c>
      <c r="T62" s="774">
        <f t="shared" si="18"/>
        <v>0</v>
      </c>
      <c r="U62" s="774">
        <f t="shared" si="18"/>
        <v>0</v>
      </c>
      <c r="V62" s="774">
        <f t="shared" si="18"/>
        <v>0</v>
      </c>
      <c r="W62" s="774">
        <f t="shared" si="18"/>
        <v>0</v>
      </c>
      <c r="X62" s="774">
        <f t="shared" si="18"/>
        <v>0</v>
      </c>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row>
    <row r="63" spans="2:73" s="37" customFormat="1">
      <c r="B63" s="1141"/>
      <c r="C63" s="1142"/>
      <c r="D63" s="1142"/>
      <c r="E63" s="1143" t="s">
        <v>87</v>
      </c>
      <c r="F63" s="1143" t="s">
        <v>191</v>
      </c>
      <c r="G63" s="1143"/>
      <c r="H63" s="1144">
        <v>40121</v>
      </c>
      <c r="I63" s="1145">
        <f t="shared" si="15"/>
        <v>0</v>
      </c>
      <c r="J63" s="773">
        <v>0</v>
      </c>
      <c r="K63" s="773">
        <v>0</v>
      </c>
      <c r="L63" s="773">
        <v>0</v>
      </c>
      <c r="M63" s="773">
        <v>0</v>
      </c>
      <c r="N63" s="773">
        <v>0</v>
      </c>
      <c r="O63" s="773">
        <v>0</v>
      </c>
      <c r="P63" s="773">
        <v>0</v>
      </c>
      <c r="Q63" s="773">
        <v>0</v>
      </c>
      <c r="R63" s="773">
        <v>0</v>
      </c>
      <c r="S63" s="773">
        <v>0</v>
      </c>
      <c r="T63" s="773">
        <v>0</v>
      </c>
      <c r="U63" s="773">
        <v>0</v>
      </c>
      <c r="V63" s="773">
        <v>0</v>
      </c>
      <c r="W63" s="773">
        <v>0</v>
      </c>
      <c r="X63" s="773">
        <v>0</v>
      </c>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row>
    <row r="64" spans="2:73" s="37" customFormat="1">
      <c r="B64" s="1141"/>
      <c r="C64" s="1142"/>
      <c r="D64" s="1142"/>
      <c r="E64" s="1143" t="s">
        <v>90</v>
      </c>
      <c r="F64" s="1143" t="s">
        <v>193</v>
      </c>
      <c r="G64" s="1143"/>
      <c r="H64" s="1144">
        <v>40122</v>
      </c>
      <c r="I64" s="1145">
        <f t="shared" si="15"/>
        <v>0</v>
      </c>
      <c r="J64" s="773">
        <v>0</v>
      </c>
      <c r="K64" s="773">
        <v>0</v>
      </c>
      <c r="L64" s="773">
        <v>0</v>
      </c>
      <c r="M64" s="773">
        <v>0</v>
      </c>
      <c r="N64" s="773">
        <v>0</v>
      </c>
      <c r="O64" s="773">
        <v>0</v>
      </c>
      <c r="P64" s="773">
        <v>0</v>
      </c>
      <c r="Q64" s="773">
        <v>0</v>
      </c>
      <c r="R64" s="773">
        <v>0</v>
      </c>
      <c r="S64" s="773">
        <v>0</v>
      </c>
      <c r="T64" s="773">
        <v>0</v>
      </c>
      <c r="U64" s="773">
        <v>0</v>
      </c>
      <c r="V64" s="773">
        <v>0</v>
      </c>
      <c r="W64" s="773">
        <v>0</v>
      </c>
      <c r="X64" s="773">
        <v>0</v>
      </c>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row>
    <row r="65" spans="2:73" s="37" customFormat="1">
      <c r="B65" s="1141"/>
      <c r="C65" s="1142"/>
      <c r="D65" s="1142" t="s">
        <v>137</v>
      </c>
      <c r="E65" s="1143" t="s">
        <v>101</v>
      </c>
      <c r="F65" s="1143"/>
      <c r="G65" s="1143"/>
      <c r="H65" s="1146">
        <v>40190</v>
      </c>
      <c r="I65" s="1147">
        <f t="shared" si="15"/>
        <v>0</v>
      </c>
      <c r="J65" s="773"/>
      <c r="K65" s="773">
        <v>0</v>
      </c>
      <c r="L65" s="773">
        <v>0</v>
      </c>
      <c r="M65" s="773">
        <v>0</v>
      </c>
      <c r="N65" s="773">
        <v>0</v>
      </c>
      <c r="O65" s="773">
        <v>0</v>
      </c>
      <c r="P65" s="773">
        <v>0</v>
      </c>
      <c r="Q65" s="773">
        <v>0</v>
      </c>
      <c r="R65" s="773">
        <v>0</v>
      </c>
      <c r="S65" s="773">
        <v>0</v>
      </c>
      <c r="T65" s="773">
        <v>0</v>
      </c>
      <c r="U65" s="773">
        <v>0</v>
      </c>
      <c r="V65" s="773">
        <v>0</v>
      </c>
      <c r="W65" s="773">
        <v>0</v>
      </c>
      <c r="X65" s="773">
        <v>0</v>
      </c>
      <c r="Y65" s="27"/>
      <c r="Z65" s="27"/>
      <c r="AA65" s="25"/>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row>
    <row r="66" spans="2:73" s="37" customFormat="1">
      <c r="B66" s="1148"/>
      <c r="C66" s="1149" t="s">
        <v>73</v>
      </c>
      <c r="D66" s="1150" t="s">
        <v>196</v>
      </c>
      <c r="E66" s="1150"/>
      <c r="F66" s="1150"/>
      <c r="G66" s="1150"/>
      <c r="H66" s="1151">
        <v>40200</v>
      </c>
      <c r="I66" s="1152">
        <f t="shared" si="15"/>
        <v>0</v>
      </c>
      <c r="J66" s="773">
        <v>0</v>
      </c>
      <c r="K66" s="773">
        <v>0</v>
      </c>
      <c r="L66" s="773">
        <v>0</v>
      </c>
      <c r="M66" s="773">
        <v>0</v>
      </c>
      <c r="N66" s="773">
        <v>0</v>
      </c>
      <c r="O66" s="773">
        <v>0</v>
      </c>
      <c r="P66" s="773">
        <v>0</v>
      </c>
      <c r="Q66" s="773">
        <v>0</v>
      </c>
      <c r="R66" s="773">
        <v>0</v>
      </c>
      <c r="S66" s="773">
        <v>0</v>
      </c>
      <c r="T66" s="773">
        <v>0</v>
      </c>
      <c r="U66" s="773">
        <v>0</v>
      </c>
      <c r="V66" s="773">
        <v>0</v>
      </c>
      <c r="W66" s="773">
        <v>0</v>
      </c>
      <c r="X66" s="773">
        <v>0</v>
      </c>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row>
    <row r="67" spans="2:73" s="37" customFormat="1">
      <c r="B67" s="1141"/>
      <c r="C67" s="1142"/>
      <c r="D67" s="1142"/>
      <c r="E67" s="1143"/>
      <c r="F67" s="1143"/>
      <c r="G67" s="1143"/>
      <c r="H67" s="1153"/>
      <c r="I67" s="1154"/>
      <c r="J67" s="1155"/>
      <c r="K67" s="1155"/>
      <c r="L67" s="1155"/>
      <c r="M67" s="1155"/>
      <c r="N67" s="1155"/>
      <c r="O67" s="1155"/>
      <c r="P67" s="252"/>
      <c r="Q67" s="253"/>
      <c r="R67" s="253"/>
      <c r="S67" s="253"/>
      <c r="T67" s="253"/>
      <c r="U67" s="253"/>
      <c r="V67" s="253"/>
      <c r="W67" s="253"/>
      <c r="X67" s="253"/>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row>
    <row r="68" spans="2:73" s="37" customFormat="1">
      <c r="B68" s="1156" t="s">
        <v>128</v>
      </c>
      <c r="C68" s="1157" t="s">
        <v>201</v>
      </c>
      <c r="D68" s="1150"/>
      <c r="E68" s="1157"/>
      <c r="F68" s="1157"/>
      <c r="G68" s="1157"/>
      <c r="H68" s="768">
        <v>50000</v>
      </c>
      <c r="I68" s="761">
        <f t="shared" ref="I68:I76" si="19">ROUND(SUM(J68:X68),0)</f>
        <v>0</v>
      </c>
      <c r="J68" s="769">
        <f>+J69+J76</f>
        <v>0</v>
      </c>
      <c r="K68" s="769">
        <f t="shared" ref="K68:X68" si="20">+K69+K76</f>
        <v>0</v>
      </c>
      <c r="L68" s="769">
        <f t="shared" si="20"/>
        <v>0</v>
      </c>
      <c r="M68" s="769">
        <f t="shared" si="20"/>
        <v>0</v>
      </c>
      <c r="N68" s="769">
        <f t="shared" si="20"/>
        <v>0</v>
      </c>
      <c r="O68" s="769">
        <f t="shared" si="20"/>
        <v>0</v>
      </c>
      <c r="P68" s="769">
        <f t="shared" si="20"/>
        <v>0</v>
      </c>
      <c r="Q68" s="769">
        <f t="shared" si="20"/>
        <v>0</v>
      </c>
      <c r="R68" s="769">
        <f t="shared" si="20"/>
        <v>0</v>
      </c>
      <c r="S68" s="769">
        <f t="shared" si="20"/>
        <v>0</v>
      </c>
      <c r="T68" s="769">
        <f t="shared" si="20"/>
        <v>0</v>
      </c>
      <c r="U68" s="769">
        <f t="shared" si="20"/>
        <v>0</v>
      </c>
      <c r="V68" s="769">
        <f t="shared" si="20"/>
        <v>0</v>
      </c>
      <c r="W68" s="769">
        <f t="shared" si="20"/>
        <v>0</v>
      </c>
      <c r="X68" s="769">
        <f t="shared" si="20"/>
        <v>0</v>
      </c>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row>
    <row r="69" spans="2:73" s="37" customFormat="1">
      <c r="B69" s="1148"/>
      <c r="C69" s="1149" t="s">
        <v>66</v>
      </c>
      <c r="D69" s="1150" t="s">
        <v>182</v>
      </c>
      <c r="E69" s="1150"/>
      <c r="F69" s="1150"/>
      <c r="G69" s="1150"/>
      <c r="H69" s="768">
        <v>50100</v>
      </c>
      <c r="I69" s="771">
        <f t="shared" si="19"/>
        <v>0</v>
      </c>
      <c r="J69" s="772">
        <f>+J70+J71+J72+J75</f>
        <v>0</v>
      </c>
      <c r="K69" s="772">
        <f t="shared" ref="K69:X69" si="21">+K70+K71+K72+K75</f>
        <v>0</v>
      </c>
      <c r="L69" s="772">
        <f t="shared" si="21"/>
        <v>0</v>
      </c>
      <c r="M69" s="772">
        <f t="shared" si="21"/>
        <v>0</v>
      </c>
      <c r="N69" s="772">
        <f t="shared" si="21"/>
        <v>0</v>
      </c>
      <c r="O69" s="772">
        <f t="shared" si="21"/>
        <v>0</v>
      </c>
      <c r="P69" s="772">
        <f t="shared" si="21"/>
        <v>0</v>
      </c>
      <c r="Q69" s="772">
        <f t="shared" si="21"/>
        <v>0</v>
      </c>
      <c r="R69" s="772">
        <f t="shared" si="21"/>
        <v>0</v>
      </c>
      <c r="S69" s="772">
        <f t="shared" si="21"/>
        <v>0</v>
      </c>
      <c r="T69" s="772">
        <f t="shared" si="21"/>
        <v>0</v>
      </c>
      <c r="U69" s="772">
        <f t="shared" si="21"/>
        <v>0</v>
      </c>
      <c r="V69" s="772">
        <f t="shared" si="21"/>
        <v>0</v>
      </c>
      <c r="W69" s="772">
        <f t="shared" si="21"/>
        <v>0</v>
      </c>
      <c r="X69" s="772">
        <f t="shared" si="21"/>
        <v>0</v>
      </c>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row>
    <row r="70" spans="2:73" s="37" customFormat="1">
      <c r="B70" s="1141"/>
      <c r="C70" s="1143"/>
      <c r="D70" s="1142" t="s">
        <v>84</v>
      </c>
      <c r="E70" s="1143" t="s">
        <v>202</v>
      </c>
      <c r="F70" s="1143"/>
      <c r="G70" s="1143"/>
      <c r="H70" s="1144">
        <v>50110</v>
      </c>
      <c r="I70" s="1145">
        <f t="shared" si="19"/>
        <v>0</v>
      </c>
      <c r="J70" s="775">
        <v>0</v>
      </c>
      <c r="K70" s="775">
        <v>0</v>
      </c>
      <c r="L70" s="775">
        <v>0</v>
      </c>
      <c r="M70" s="775">
        <v>0</v>
      </c>
      <c r="N70" s="775">
        <v>0</v>
      </c>
      <c r="O70" s="775">
        <v>0</v>
      </c>
      <c r="P70" s="775">
        <v>0</v>
      </c>
      <c r="Q70" s="775">
        <v>0</v>
      </c>
      <c r="R70" s="775">
        <v>0</v>
      </c>
      <c r="S70" s="775">
        <v>0</v>
      </c>
      <c r="T70" s="775">
        <v>0</v>
      </c>
      <c r="U70" s="775">
        <v>0</v>
      </c>
      <c r="V70" s="775">
        <v>0</v>
      </c>
      <c r="W70" s="775">
        <v>0</v>
      </c>
      <c r="X70" s="775">
        <v>0</v>
      </c>
      <c r="Y70" s="27"/>
      <c r="Z70" s="27"/>
      <c r="AA70" s="25"/>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row>
    <row r="71" spans="2:73" s="37" customFormat="1">
      <c r="B71" s="1141"/>
      <c r="C71" s="1143"/>
      <c r="D71" s="1142" t="s">
        <v>100</v>
      </c>
      <c r="E71" s="1143" t="s">
        <v>252</v>
      </c>
      <c r="F71" s="1143"/>
      <c r="G71" s="1143"/>
      <c r="H71" s="1144">
        <v>50120</v>
      </c>
      <c r="I71" s="1145">
        <f t="shared" si="19"/>
        <v>0</v>
      </c>
      <c r="J71" s="775">
        <v>0</v>
      </c>
      <c r="K71" s="775">
        <v>0</v>
      </c>
      <c r="L71" s="775">
        <v>0</v>
      </c>
      <c r="M71" s="775">
        <v>0</v>
      </c>
      <c r="N71" s="775">
        <v>0</v>
      </c>
      <c r="O71" s="775">
        <v>0</v>
      </c>
      <c r="P71" s="775">
        <v>0</v>
      </c>
      <c r="Q71" s="775">
        <v>0</v>
      </c>
      <c r="R71" s="775">
        <v>0</v>
      </c>
      <c r="S71" s="775">
        <v>0</v>
      </c>
      <c r="T71" s="775">
        <v>0</v>
      </c>
      <c r="U71" s="775">
        <v>0</v>
      </c>
      <c r="V71" s="775">
        <v>0</v>
      </c>
      <c r="W71" s="775">
        <v>0</v>
      </c>
      <c r="X71" s="775">
        <v>0</v>
      </c>
      <c r="Y71" s="27"/>
      <c r="Z71" s="27"/>
      <c r="AA71" s="25"/>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row>
    <row r="72" spans="2:73" s="37" customFormat="1">
      <c r="B72" s="1141"/>
      <c r="C72" s="1143"/>
      <c r="D72" s="1142" t="s">
        <v>137</v>
      </c>
      <c r="E72" s="1143" t="s">
        <v>208</v>
      </c>
      <c r="F72" s="1143"/>
      <c r="G72" s="1143"/>
      <c r="H72" s="1144">
        <v>50130</v>
      </c>
      <c r="I72" s="1145">
        <f t="shared" si="19"/>
        <v>0</v>
      </c>
      <c r="J72" s="774">
        <f>+J73+J74</f>
        <v>0</v>
      </c>
      <c r="K72" s="774">
        <f t="shared" ref="K72:X72" si="22">+K73+K74</f>
        <v>0</v>
      </c>
      <c r="L72" s="774">
        <f t="shared" si="22"/>
        <v>0</v>
      </c>
      <c r="M72" s="774">
        <f t="shared" si="22"/>
        <v>0</v>
      </c>
      <c r="N72" s="774">
        <f t="shared" si="22"/>
        <v>0</v>
      </c>
      <c r="O72" s="774">
        <f t="shared" si="22"/>
        <v>0</v>
      </c>
      <c r="P72" s="776">
        <f t="shared" si="22"/>
        <v>0</v>
      </c>
      <c r="Q72" s="776">
        <f t="shared" si="22"/>
        <v>0</v>
      </c>
      <c r="R72" s="776">
        <f t="shared" si="22"/>
        <v>0</v>
      </c>
      <c r="S72" s="776">
        <f t="shared" si="22"/>
        <v>0</v>
      </c>
      <c r="T72" s="776">
        <f t="shared" si="22"/>
        <v>0</v>
      </c>
      <c r="U72" s="776">
        <f t="shared" si="22"/>
        <v>0</v>
      </c>
      <c r="V72" s="776">
        <f t="shared" si="22"/>
        <v>0</v>
      </c>
      <c r="W72" s="776">
        <f t="shared" si="22"/>
        <v>0</v>
      </c>
      <c r="X72" s="776">
        <f t="shared" si="22"/>
        <v>0</v>
      </c>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row>
    <row r="73" spans="2:73" s="37" customFormat="1">
      <c r="B73" s="1141"/>
      <c r="C73" s="1142"/>
      <c r="D73" s="1142"/>
      <c r="E73" s="1142" t="s">
        <v>87</v>
      </c>
      <c r="F73" s="1143" t="s">
        <v>191</v>
      </c>
      <c r="G73" s="1143"/>
      <c r="H73" s="1144">
        <v>50131</v>
      </c>
      <c r="I73" s="1145">
        <f t="shared" si="19"/>
        <v>0</v>
      </c>
      <c r="J73" s="775">
        <v>0</v>
      </c>
      <c r="K73" s="775">
        <v>0</v>
      </c>
      <c r="L73" s="775">
        <v>0</v>
      </c>
      <c r="M73" s="775">
        <v>0</v>
      </c>
      <c r="N73" s="775">
        <v>0</v>
      </c>
      <c r="O73" s="775">
        <v>0</v>
      </c>
      <c r="P73" s="775">
        <v>0</v>
      </c>
      <c r="Q73" s="775">
        <v>0</v>
      </c>
      <c r="R73" s="775">
        <v>0</v>
      </c>
      <c r="S73" s="775">
        <v>0</v>
      </c>
      <c r="T73" s="775">
        <v>0</v>
      </c>
      <c r="U73" s="775">
        <v>0</v>
      </c>
      <c r="V73" s="775">
        <v>0</v>
      </c>
      <c r="W73" s="775">
        <v>0</v>
      </c>
      <c r="X73" s="775">
        <v>0</v>
      </c>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row>
    <row r="74" spans="2:73" s="37" customFormat="1">
      <c r="B74" s="1141"/>
      <c r="C74" s="1142"/>
      <c r="D74" s="1142"/>
      <c r="E74" s="1142" t="s">
        <v>90</v>
      </c>
      <c r="F74" s="1143" t="s">
        <v>193</v>
      </c>
      <c r="G74" s="1143"/>
      <c r="H74" s="1144">
        <v>50132</v>
      </c>
      <c r="I74" s="1145">
        <f t="shared" si="19"/>
        <v>0</v>
      </c>
      <c r="J74" s="775">
        <v>0</v>
      </c>
      <c r="K74" s="775">
        <v>0</v>
      </c>
      <c r="L74" s="775">
        <v>0</v>
      </c>
      <c r="M74" s="775">
        <v>0</v>
      </c>
      <c r="N74" s="775">
        <v>0</v>
      </c>
      <c r="O74" s="775">
        <v>0</v>
      </c>
      <c r="P74" s="775">
        <v>0</v>
      </c>
      <c r="Q74" s="775">
        <v>0</v>
      </c>
      <c r="R74" s="775">
        <v>0</v>
      </c>
      <c r="S74" s="775">
        <v>0</v>
      </c>
      <c r="T74" s="775">
        <v>0</v>
      </c>
      <c r="U74" s="775">
        <v>0</v>
      </c>
      <c r="V74" s="775">
        <v>0</v>
      </c>
      <c r="W74" s="775">
        <v>0</v>
      </c>
      <c r="X74" s="775">
        <v>0</v>
      </c>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row>
    <row r="75" spans="2:73" s="37" customFormat="1">
      <c r="B75" s="1141"/>
      <c r="C75" s="1143"/>
      <c r="D75" s="1142" t="s">
        <v>210</v>
      </c>
      <c r="E75" s="1143" t="s">
        <v>101</v>
      </c>
      <c r="F75" s="1143"/>
      <c r="G75" s="1143"/>
      <c r="H75" s="1144">
        <v>50190</v>
      </c>
      <c r="I75" s="1145">
        <f t="shared" si="19"/>
        <v>0</v>
      </c>
      <c r="J75" s="775">
        <v>0</v>
      </c>
      <c r="K75" s="775">
        <v>0</v>
      </c>
      <c r="L75" s="775">
        <v>0</v>
      </c>
      <c r="M75" s="775">
        <v>0</v>
      </c>
      <c r="N75" s="775">
        <v>0</v>
      </c>
      <c r="O75" s="775">
        <v>0</v>
      </c>
      <c r="P75" s="775">
        <v>0</v>
      </c>
      <c r="Q75" s="775">
        <v>0</v>
      </c>
      <c r="R75" s="775">
        <v>0</v>
      </c>
      <c r="S75" s="775">
        <v>0</v>
      </c>
      <c r="T75" s="775">
        <v>0</v>
      </c>
      <c r="U75" s="775">
        <v>0</v>
      </c>
      <c r="V75" s="775">
        <v>0</v>
      </c>
      <c r="W75" s="775">
        <v>0</v>
      </c>
      <c r="X75" s="775">
        <v>0</v>
      </c>
      <c r="Y75" s="27"/>
      <c r="Z75" s="27"/>
      <c r="AA75" s="25"/>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row>
    <row r="76" spans="2:73" s="37" customFormat="1">
      <c r="B76" s="1148"/>
      <c r="C76" s="1149" t="s">
        <v>73</v>
      </c>
      <c r="D76" s="1150" t="s">
        <v>212</v>
      </c>
      <c r="E76" s="1150"/>
      <c r="F76" s="1150"/>
      <c r="G76" s="1150"/>
      <c r="H76" s="768">
        <v>50200</v>
      </c>
      <c r="I76" s="771">
        <f t="shared" si="19"/>
        <v>0</v>
      </c>
      <c r="J76" s="775"/>
      <c r="K76" s="775">
        <v>0</v>
      </c>
      <c r="L76" s="775">
        <v>0</v>
      </c>
      <c r="M76" s="775">
        <v>0</v>
      </c>
      <c r="N76" s="775"/>
      <c r="O76" s="775"/>
      <c r="P76" s="775">
        <v>0</v>
      </c>
      <c r="Q76" s="775">
        <v>0</v>
      </c>
      <c r="R76" s="775">
        <v>0</v>
      </c>
      <c r="S76" s="775">
        <v>0</v>
      </c>
      <c r="T76" s="775">
        <v>0</v>
      </c>
      <c r="U76" s="775">
        <v>0</v>
      </c>
      <c r="V76" s="775">
        <v>0</v>
      </c>
      <c r="W76" s="775">
        <v>0</v>
      </c>
      <c r="X76" s="775">
        <v>0</v>
      </c>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row>
    <row r="77" spans="2:73" ht="9" customHeight="1" thickBot="1">
      <c r="B77" s="777"/>
      <c r="C77" s="778"/>
      <c r="D77" s="778"/>
      <c r="E77" s="778"/>
      <c r="F77" s="778"/>
      <c r="G77" s="778"/>
      <c r="H77" s="779"/>
      <c r="I77" s="780"/>
      <c r="J77" s="781"/>
      <c r="K77" s="781"/>
      <c r="L77" s="781"/>
      <c r="M77" s="781"/>
      <c r="N77" s="781"/>
      <c r="O77" s="781"/>
      <c r="P77" s="254"/>
      <c r="Q77" s="254"/>
      <c r="R77" s="254"/>
      <c r="S77" s="254"/>
      <c r="T77" s="254"/>
      <c r="U77" s="254"/>
      <c r="V77" s="254"/>
      <c r="W77" s="254"/>
      <c r="X77" s="254"/>
    </row>
    <row r="78" spans="2:73" ht="15.75" thickBot="1">
      <c r="B78" s="349" t="s">
        <v>253</v>
      </c>
      <c r="C78" s="350"/>
      <c r="D78" s="350"/>
      <c r="E78" s="350"/>
      <c r="F78" s="350"/>
      <c r="G78" s="350"/>
      <c r="H78" s="351">
        <v>60000</v>
      </c>
      <c r="I78" s="238">
        <f>ROUND(SUM(J78:X78),0)</f>
        <v>0</v>
      </c>
      <c r="J78" s="255">
        <f>+J59-J68</f>
        <v>0</v>
      </c>
      <c r="K78" s="255">
        <f t="shared" ref="K78:X78" si="23">+K59-K68</f>
        <v>0</v>
      </c>
      <c r="L78" s="255">
        <f t="shared" si="23"/>
        <v>0</v>
      </c>
      <c r="M78" s="256">
        <f t="shared" si="23"/>
        <v>0</v>
      </c>
      <c r="N78" s="255">
        <f t="shared" si="23"/>
        <v>0</v>
      </c>
      <c r="O78" s="256">
        <f t="shared" si="23"/>
        <v>0</v>
      </c>
      <c r="P78" s="257">
        <f t="shared" si="23"/>
        <v>0</v>
      </c>
      <c r="Q78" s="257">
        <f t="shared" si="23"/>
        <v>0</v>
      </c>
      <c r="R78" s="257">
        <f t="shared" si="23"/>
        <v>0</v>
      </c>
      <c r="S78" s="257">
        <f t="shared" si="23"/>
        <v>0</v>
      </c>
      <c r="T78" s="257">
        <f t="shared" si="23"/>
        <v>0</v>
      </c>
      <c r="U78" s="257">
        <f t="shared" si="23"/>
        <v>0</v>
      </c>
      <c r="V78" s="257">
        <f t="shared" si="23"/>
        <v>0</v>
      </c>
      <c r="W78" s="257">
        <f t="shared" si="23"/>
        <v>0</v>
      </c>
      <c r="X78" s="258">
        <f t="shared" si="23"/>
        <v>0</v>
      </c>
      <c r="AA78" s="28"/>
    </row>
    <row r="79" spans="2:73" ht="15.75" thickBot="1">
      <c r="B79" s="325"/>
      <c r="C79" s="356"/>
      <c r="D79" s="356"/>
      <c r="E79" s="325"/>
      <c r="F79" s="325"/>
      <c r="G79" s="325"/>
      <c r="H79" s="334"/>
      <c r="I79" s="259"/>
      <c r="J79" s="245"/>
      <c r="K79" s="245"/>
      <c r="L79" s="245"/>
      <c r="M79" s="245"/>
      <c r="N79" s="245"/>
      <c r="O79" s="245"/>
      <c r="P79" s="260"/>
      <c r="Q79" s="260"/>
      <c r="R79" s="260"/>
      <c r="S79" s="260"/>
      <c r="T79" s="260"/>
      <c r="U79" s="260"/>
      <c r="V79" s="260"/>
      <c r="W79" s="260"/>
      <c r="X79" s="260"/>
    </row>
    <row r="80" spans="2:73" s="36" customFormat="1" ht="15.75" thickBot="1">
      <c r="B80" s="349" t="s">
        <v>217</v>
      </c>
      <c r="C80" s="350"/>
      <c r="D80" s="350"/>
      <c r="E80" s="350"/>
      <c r="F80" s="350"/>
      <c r="G80" s="350"/>
      <c r="H80" s="351">
        <v>70000</v>
      </c>
      <c r="I80" s="238">
        <v>0</v>
      </c>
      <c r="J80" s="255">
        <f t="shared" ref="J80:X80" si="24">+J56+J78</f>
        <v>52349</v>
      </c>
      <c r="K80" s="255">
        <f t="shared" si="24"/>
        <v>0</v>
      </c>
      <c r="L80" s="255">
        <f t="shared" si="24"/>
        <v>-28671</v>
      </c>
      <c r="M80" s="256">
        <f t="shared" si="24"/>
        <v>-188498</v>
      </c>
      <c r="N80" s="255">
        <f t="shared" si="24"/>
        <v>-336637</v>
      </c>
      <c r="O80" s="256">
        <f t="shared" si="24"/>
        <v>3978</v>
      </c>
      <c r="P80" s="257">
        <f t="shared" si="24"/>
        <v>-151865</v>
      </c>
      <c r="Q80" s="257">
        <f t="shared" si="24"/>
        <v>207724</v>
      </c>
      <c r="R80" s="257">
        <f t="shared" si="24"/>
        <v>455780</v>
      </c>
      <c r="S80" s="257">
        <f t="shared" si="24"/>
        <v>-196463</v>
      </c>
      <c r="T80" s="257">
        <f t="shared" si="24"/>
        <v>106219</v>
      </c>
      <c r="U80" s="257">
        <f t="shared" si="24"/>
        <v>106084</v>
      </c>
      <c r="V80" s="257">
        <f t="shared" si="24"/>
        <v>0</v>
      </c>
      <c r="W80" s="257">
        <f t="shared" si="24"/>
        <v>0</v>
      </c>
      <c r="X80" s="258">
        <f t="shared" si="24"/>
        <v>-30000</v>
      </c>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row>
    <row r="81" spans="2:73" s="36" customFormat="1" ht="9.75" customHeight="1" thickBot="1">
      <c r="B81" s="358"/>
      <c r="C81" s="325"/>
      <c r="D81" s="325"/>
      <c r="E81" s="325"/>
      <c r="F81" s="325"/>
      <c r="G81" s="325"/>
      <c r="H81" s="334"/>
      <c r="I81" s="261"/>
      <c r="J81" s="262"/>
      <c r="K81" s="262"/>
      <c r="L81" s="262"/>
      <c r="M81" s="262"/>
      <c r="N81" s="262"/>
      <c r="O81" s="262"/>
      <c r="P81" s="263"/>
      <c r="Q81" s="263"/>
      <c r="R81" s="263"/>
      <c r="S81" s="263"/>
      <c r="T81" s="263"/>
      <c r="U81" s="263"/>
      <c r="V81" s="263"/>
      <c r="W81" s="263"/>
      <c r="X81" s="263"/>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row>
    <row r="82" spans="2:73" ht="15.75" thickBot="1">
      <c r="B82" s="349" t="s">
        <v>218</v>
      </c>
      <c r="C82" s="350"/>
      <c r="D82" s="350"/>
      <c r="E82" s="350"/>
      <c r="F82" s="350"/>
      <c r="G82" s="360"/>
      <c r="H82" s="351">
        <v>80000</v>
      </c>
      <c r="I82" s="238">
        <f>+I80</f>
        <v>0</v>
      </c>
      <c r="J82" s="255">
        <f t="shared" ref="J82:X82" si="25">+I82+J80</f>
        <v>52349</v>
      </c>
      <c r="K82" s="255">
        <f t="shared" si="25"/>
        <v>52349</v>
      </c>
      <c r="L82" s="255">
        <f t="shared" si="25"/>
        <v>23678</v>
      </c>
      <c r="M82" s="255">
        <f t="shared" si="25"/>
        <v>-164820</v>
      </c>
      <c r="N82" s="255">
        <f t="shared" si="25"/>
        <v>-501457</v>
      </c>
      <c r="O82" s="255">
        <f t="shared" si="25"/>
        <v>-497479</v>
      </c>
      <c r="P82" s="264">
        <f t="shared" si="25"/>
        <v>-649344</v>
      </c>
      <c r="Q82" s="264">
        <f t="shared" si="25"/>
        <v>-441620</v>
      </c>
      <c r="R82" s="264">
        <f t="shared" si="25"/>
        <v>14160</v>
      </c>
      <c r="S82" s="264">
        <f t="shared" si="25"/>
        <v>-182303</v>
      </c>
      <c r="T82" s="264">
        <f t="shared" si="25"/>
        <v>-76084</v>
      </c>
      <c r="U82" s="264">
        <f t="shared" si="25"/>
        <v>30000</v>
      </c>
      <c r="V82" s="264">
        <f t="shared" si="25"/>
        <v>30000</v>
      </c>
      <c r="W82" s="264">
        <f t="shared" si="25"/>
        <v>30000</v>
      </c>
      <c r="X82" s="264">
        <f t="shared" si="25"/>
        <v>0</v>
      </c>
    </row>
    <row r="83" spans="2:73">
      <c r="B83" s="362"/>
      <c r="C83" s="362"/>
      <c r="D83" s="362"/>
      <c r="E83" s="362"/>
      <c r="F83" s="362"/>
      <c r="G83" s="362"/>
      <c r="H83" s="363"/>
      <c r="I83" s="364"/>
      <c r="J83" s="362"/>
      <c r="K83" s="362"/>
      <c r="L83" s="362"/>
      <c r="M83" s="362"/>
      <c r="N83" s="362"/>
      <c r="O83" s="362"/>
      <c r="P83" s="362"/>
      <c r="Q83" s="362"/>
      <c r="R83" s="362"/>
      <c r="S83" s="362"/>
      <c r="T83" s="362"/>
      <c r="U83" s="362"/>
      <c r="V83" s="362"/>
      <c r="W83" s="362"/>
      <c r="X83" s="362"/>
    </row>
    <row r="85" spans="2:73" s="37" customFormat="1" ht="31.5" customHeight="1">
      <c r="C85" s="226" t="s">
        <v>219</v>
      </c>
      <c r="D85" s="1247" t="s">
        <v>220</v>
      </c>
      <c r="E85" s="1247"/>
      <c r="F85" s="1247"/>
      <c r="G85" s="1247"/>
      <c r="H85" s="1247"/>
      <c r="I85" s="1247"/>
      <c r="J85" s="1247"/>
      <c r="K85" s="1247"/>
      <c r="L85" s="1247"/>
      <c r="P85" s="1171"/>
      <c r="Q85" s="1171"/>
      <c r="R85" s="1171"/>
      <c r="S85" s="1171"/>
      <c r="T85" s="1171"/>
      <c r="U85" s="1233" t="s">
        <v>254</v>
      </c>
      <c r="V85" s="1233"/>
      <c r="W85" s="1233"/>
      <c r="X85" s="1233"/>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row>
    <row r="86" spans="2:73" s="37" customFormat="1" ht="16.5">
      <c r="C86" s="226" t="s">
        <v>221</v>
      </c>
      <c r="D86" s="37" t="s">
        <v>222</v>
      </c>
      <c r="H86" s="365"/>
      <c r="I86" s="366"/>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row>
    <row r="87" spans="2:73" s="37" customFormat="1" ht="16.5" customHeight="1">
      <c r="C87" s="226" t="s">
        <v>223</v>
      </c>
      <c r="D87" s="37" t="s">
        <v>224</v>
      </c>
      <c r="H87" s="365"/>
      <c r="I87" s="366"/>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row>
    <row r="88" spans="2:73" s="37" customFormat="1" ht="16.5">
      <c r="C88" s="226" t="s">
        <v>225</v>
      </c>
      <c r="D88" s="37" t="s">
        <v>226</v>
      </c>
      <c r="H88" s="365"/>
      <c r="I88" s="366"/>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row>
    <row r="89" spans="2:73" s="37" customFormat="1" ht="16.5">
      <c r="C89" s="226" t="s">
        <v>227</v>
      </c>
      <c r="D89" s="37" t="s">
        <v>228</v>
      </c>
      <c r="H89" s="365"/>
      <c r="I89" s="366"/>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row>
    <row r="90" spans="2:73" s="37" customFormat="1" ht="16.5">
      <c r="C90" s="226" t="s">
        <v>229</v>
      </c>
      <c r="D90" s="37" t="s">
        <v>230</v>
      </c>
      <c r="H90" s="365"/>
      <c r="I90" s="366"/>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row>
    <row r="92" spans="2:73">
      <c r="C92" s="367" t="s">
        <v>255</v>
      </c>
    </row>
    <row r="97" spans="2:24" ht="15.75" thickBot="1"/>
    <row r="98" spans="2:24" ht="51.75" customHeight="1" thickBot="1">
      <c r="B98" s="368" t="s">
        <v>256</v>
      </c>
      <c r="C98" s="350"/>
      <c r="D98" s="350"/>
      <c r="E98" s="350"/>
      <c r="F98" s="350"/>
      <c r="G98" s="369"/>
    </row>
    <row r="99" spans="2:24" ht="15" customHeight="1">
      <c r="B99" s="370" t="s">
        <v>231</v>
      </c>
      <c r="C99" s="1246" t="s">
        <v>257</v>
      </c>
      <c r="D99" s="1246"/>
      <c r="E99" s="1246"/>
      <c r="F99" s="1246"/>
      <c r="G99" s="1246"/>
      <c r="H99" s="371"/>
    </row>
    <row r="100" spans="2:24" ht="51.75" customHeight="1">
      <c r="B100" s="37"/>
      <c r="C100" s="1247"/>
      <c r="D100" s="1247"/>
      <c r="E100" s="1247"/>
      <c r="F100" s="1247"/>
      <c r="G100" s="1247"/>
      <c r="H100" s="371"/>
    </row>
    <row r="101" spans="2:24" ht="15" customHeight="1">
      <c r="B101" s="37"/>
      <c r="C101" s="1247"/>
      <c r="D101" s="1247"/>
      <c r="E101" s="1247"/>
      <c r="F101" s="1247"/>
      <c r="G101" s="1247"/>
      <c r="H101" s="371"/>
    </row>
    <row r="102" spans="2:24">
      <c r="B102" s="37"/>
      <c r="C102" s="1247"/>
      <c r="D102" s="1247"/>
      <c r="E102" s="1247"/>
      <c r="F102" s="1247"/>
      <c r="G102" s="1247"/>
      <c r="H102" s="371"/>
    </row>
    <row r="103" spans="2:24" ht="54" customHeight="1">
      <c r="B103" s="370" t="s">
        <v>231</v>
      </c>
      <c r="C103" s="1247" t="s">
        <v>258</v>
      </c>
      <c r="D103" s="1247"/>
      <c r="E103" s="1247"/>
      <c r="F103" s="1247"/>
      <c r="G103" s="1247"/>
      <c r="H103" s="371"/>
      <c r="I103" s="372"/>
      <c r="J103" s="373"/>
      <c r="K103" s="373"/>
      <c r="L103" s="373"/>
      <c r="M103" s="373"/>
      <c r="N103" s="373"/>
      <c r="O103" s="373"/>
      <c r="P103" s="373"/>
      <c r="Q103" s="373"/>
      <c r="R103" s="373"/>
      <c r="S103" s="373"/>
      <c r="T103" s="373"/>
      <c r="U103" s="373"/>
      <c r="V103" s="373"/>
      <c r="W103" s="373"/>
      <c r="X103" s="373"/>
    </row>
    <row r="104" spans="2:24">
      <c r="B104" s="37"/>
      <c r="C104" s="1247"/>
      <c r="D104" s="1247"/>
      <c r="E104" s="1247"/>
      <c r="F104" s="1247"/>
      <c r="G104" s="1247"/>
      <c r="H104" s="371"/>
      <c r="I104" s="372"/>
      <c r="J104" s="373"/>
      <c r="K104" s="373"/>
      <c r="L104" s="373"/>
      <c r="M104" s="373"/>
      <c r="N104" s="373"/>
      <c r="O104" s="373"/>
      <c r="P104" s="373"/>
      <c r="Q104" s="373"/>
      <c r="R104" s="373"/>
      <c r="S104" s="373"/>
      <c r="T104" s="373"/>
      <c r="U104" s="373"/>
      <c r="V104" s="373"/>
      <c r="W104" s="373"/>
      <c r="X104" s="373"/>
    </row>
    <row r="105" spans="2:24" ht="15" customHeight="1">
      <c r="B105" s="37"/>
      <c r="C105" s="1247"/>
      <c r="D105" s="1247"/>
      <c r="E105" s="1247"/>
      <c r="F105" s="1247"/>
      <c r="G105" s="1247"/>
      <c r="H105" s="371"/>
      <c r="I105" s="372"/>
      <c r="J105" s="373"/>
      <c r="K105" s="373"/>
      <c r="L105" s="373"/>
      <c r="M105" s="373"/>
      <c r="N105" s="373"/>
      <c r="O105" s="373"/>
      <c r="P105" s="373"/>
      <c r="Q105" s="373"/>
      <c r="R105" s="373"/>
      <c r="S105" s="373"/>
      <c r="T105" s="373"/>
      <c r="U105" s="373"/>
      <c r="V105" s="373"/>
      <c r="W105" s="373"/>
      <c r="X105" s="373"/>
    </row>
    <row r="106" spans="2:24">
      <c r="B106" s="37"/>
      <c r="C106" s="1247"/>
      <c r="D106" s="1247"/>
      <c r="E106" s="1247"/>
      <c r="F106" s="1247"/>
      <c r="G106" s="1247"/>
      <c r="H106" s="371"/>
      <c r="I106" s="372"/>
      <c r="J106" s="373"/>
      <c r="K106" s="373"/>
      <c r="L106" s="373"/>
      <c r="M106" s="373"/>
      <c r="N106" s="373"/>
      <c r="O106" s="373"/>
      <c r="P106" s="373"/>
      <c r="Q106" s="373"/>
      <c r="R106" s="373"/>
      <c r="S106" s="373"/>
      <c r="T106" s="373"/>
      <c r="U106" s="373"/>
      <c r="V106" s="373"/>
      <c r="W106" s="373"/>
      <c r="X106" s="373"/>
    </row>
    <row r="107" spans="2:24" ht="8.25" customHeight="1"/>
    <row r="108" spans="2:24" ht="15" customHeight="1">
      <c r="B108" s="374" t="s">
        <v>231</v>
      </c>
      <c r="C108" s="1247" t="s">
        <v>259</v>
      </c>
      <c r="D108" s="1247"/>
      <c r="E108" s="1247"/>
      <c r="F108" s="1247"/>
      <c r="G108" s="1247"/>
      <c r="H108" s="371"/>
    </row>
    <row r="109" spans="2:24" ht="14.25" customHeight="1">
      <c r="C109" s="1247"/>
      <c r="D109" s="1247"/>
      <c r="E109" s="1247"/>
      <c r="F109" s="1247"/>
      <c r="G109" s="1247"/>
      <c r="H109" s="371"/>
    </row>
    <row r="110" spans="2:24" ht="14.25" customHeight="1">
      <c r="C110" s="1247"/>
      <c r="D110" s="1247"/>
      <c r="E110" s="1247"/>
      <c r="F110" s="1247"/>
      <c r="G110" s="1247"/>
      <c r="H110" s="371"/>
    </row>
    <row r="111" spans="2:24" ht="14.25" customHeight="1">
      <c r="C111" s="1247"/>
      <c r="D111" s="1247"/>
      <c r="E111" s="1247"/>
      <c r="F111" s="1247"/>
      <c r="G111" s="1247"/>
      <c r="H111" s="371"/>
    </row>
    <row r="112" spans="2:24" ht="14.25" customHeight="1">
      <c r="C112" s="1247"/>
      <c r="D112" s="1247"/>
      <c r="E112" s="1247"/>
      <c r="F112" s="1247"/>
      <c r="G112" s="1247"/>
      <c r="H112" s="371"/>
    </row>
    <row r="113" spans="3:73" s="32" customFormat="1" ht="14.25" customHeight="1">
      <c r="C113" s="1247"/>
      <c r="D113" s="1247"/>
      <c r="E113" s="1247"/>
      <c r="F113" s="1247"/>
      <c r="G113" s="1247"/>
      <c r="H113" s="371"/>
      <c r="J113" s="31"/>
      <c r="K113" s="31"/>
      <c r="L113" s="31"/>
      <c r="M113" s="31"/>
      <c r="N113" s="31"/>
      <c r="O113" s="31"/>
      <c r="P113" s="31"/>
      <c r="Q113" s="31"/>
      <c r="R113" s="31"/>
      <c r="S113" s="31"/>
      <c r="T113" s="31"/>
      <c r="U113" s="31"/>
      <c r="V113" s="31"/>
      <c r="W113" s="31"/>
      <c r="X113" s="31"/>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row>
    <row r="114" spans="3:73" s="32" customFormat="1" ht="14.25" customHeight="1">
      <c r="C114" s="1247"/>
      <c r="D114" s="1247"/>
      <c r="E114" s="1247"/>
      <c r="F114" s="1247"/>
      <c r="G114" s="1247"/>
      <c r="H114" s="371"/>
      <c r="J114" s="31"/>
      <c r="K114" s="31"/>
      <c r="L114" s="31"/>
      <c r="M114" s="31"/>
      <c r="N114" s="31"/>
      <c r="O114" s="31"/>
      <c r="P114" s="31"/>
      <c r="Q114" s="31"/>
      <c r="R114" s="31"/>
      <c r="S114" s="31"/>
      <c r="T114" s="31"/>
      <c r="U114" s="31"/>
      <c r="V114" s="31"/>
      <c r="W114" s="31"/>
      <c r="X114" s="31"/>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row>
    <row r="115" spans="3:73" s="32" customFormat="1" ht="14.25" customHeight="1">
      <c r="C115" s="1247"/>
      <c r="D115" s="1247"/>
      <c r="E115" s="1247"/>
      <c r="F115" s="1247"/>
      <c r="G115" s="1247"/>
      <c r="H115" s="371"/>
      <c r="J115" s="31"/>
      <c r="K115" s="31"/>
      <c r="L115" s="31"/>
      <c r="M115" s="31"/>
      <c r="N115" s="31"/>
      <c r="O115" s="31"/>
      <c r="P115" s="31"/>
      <c r="Q115" s="31"/>
      <c r="R115" s="31"/>
      <c r="S115" s="31"/>
      <c r="T115" s="31"/>
      <c r="U115" s="31"/>
      <c r="V115" s="31"/>
      <c r="W115" s="31"/>
      <c r="X115" s="31"/>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row>
    <row r="116" spans="3:73" s="32" customFormat="1" ht="14.25" customHeight="1">
      <c r="C116" s="1247"/>
      <c r="D116" s="1247"/>
      <c r="E116" s="1247"/>
      <c r="F116" s="1247"/>
      <c r="G116" s="1247"/>
      <c r="H116" s="371"/>
      <c r="J116" s="31"/>
      <c r="K116" s="31"/>
      <c r="L116" s="31"/>
      <c r="M116" s="31"/>
      <c r="N116" s="31"/>
      <c r="O116" s="31"/>
      <c r="P116" s="31"/>
      <c r="Q116" s="31"/>
      <c r="R116" s="31"/>
      <c r="S116" s="31"/>
      <c r="T116" s="31"/>
      <c r="U116" s="31"/>
      <c r="V116" s="31"/>
      <c r="W116" s="31"/>
      <c r="X116" s="31"/>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row>
    <row r="117" spans="3:73" s="32" customFormat="1">
      <c r="C117" s="1247"/>
      <c r="D117" s="1247"/>
      <c r="E117" s="1247"/>
      <c r="F117" s="1247"/>
      <c r="G117" s="1247"/>
      <c r="H117" s="371"/>
      <c r="J117" s="31"/>
      <c r="K117" s="31"/>
      <c r="L117" s="31"/>
      <c r="M117" s="31"/>
      <c r="N117" s="31"/>
      <c r="O117" s="31"/>
      <c r="P117" s="31"/>
      <c r="Q117" s="31"/>
      <c r="R117" s="31"/>
      <c r="S117" s="31"/>
      <c r="T117" s="31"/>
      <c r="U117" s="31"/>
      <c r="V117" s="31"/>
      <c r="W117" s="31"/>
      <c r="X117" s="31"/>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row>
    <row r="119" spans="3:73" s="32" customFormat="1">
      <c r="C119" s="37" t="s">
        <v>260</v>
      </c>
      <c r="D119" s="373"/>
      <c r="E119" s="373"/>
      <c r="F119" s="373"/>
      <c r="G119" s="373"/>
      <c r="H119" s="371"/>
      <c r="J119" s="31"/>
      <c r="K119" s="31"/>
      <c r="L119" s="31"/>
      <c r="M119" s="31"/>
      <c r="N119" s="31"/>
      <c r="O119" s="31"/>
      <c r="P119" s="31"/>
      <c r="Q119" s="31"/>
      <c r="R119" s="31"/>
      <c r="S119" s="31"/>
      <c r="T119" s="31"/>
      <c r="U119" s="31"/>
      <c r="V119" s="31"/>
      <c r="W119" s="31"/>
      <c r="X119" s="31"/>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row>
    <row r="120" spans="3:73" s="32" customFormat="1">
      <c r="C120" s="37" t="s">
        <v>261</v>
      </c>
      <c r="D120" s="373"/>
      <c r="E120" s="373"/>
      <c r="F120" s="373"/>
      <c r="G120" s="373"/>
      <c r="H120" s="371"/>
      <c r="J120" s="31"/>
      <c r="K120" s="31"/>
      <c r="L120" s="31"/>
      <c r="M120" s="31"/>
      <c r="N120" s="31"/>
      <c r="O120" s="31"/>
      <c r="P120" s="31"/>
      <c r="Q120" s="31"/>
      <c r="R120" s="31"/>
      <c r="S120" s="31"/>
      <c r="T120" s="31"/>
      <c r="U120" s="31"/>
      <c r="V120" s="31"/>
      <c r="W120" s="31"/>
      <c r="X120" s="31"/>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row>
    <row r="121" spans="3:73" s="32" customFormat="1" ht="65.25" customHeight="1">
      <c r="C121" s="373"/>
      <c r="D121" s="373"/>
      <c r="E121" s="373"/>
      <c r="F121" s="373"/>
      <c r="G121" s="373"/>
      <c r="H121" s="371"/>
      <c r="J121" s="31"/>
      <c r="K121" s="31"/>
      <c r="L121" s="31"/>
      <c r="M121" s="31"/>
      <c r="N121" s="31"/>
      <c r="O121" s="31"/>
      <c r="P121" s="31"/>
      <c r="Q121" s="31"/>
      <c r="R121" s="31"/>
      <c r="S121" s="31"/>
      <c r="T121" s="31"/>
      <c r="U121" s="31"/>
      <c r="V121" s="31"/>
      <c r="W121" s="31"/>
      <c r="X121" s="31"/>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row>
    <row r="122" spans="3:73" s="32" customFormat="1" ht="65.25" customHeight="1">
      <c r="C122" s="373"/>
      <c r="D122" s="373"/>
      <c r="E122" s="373"/>
      <c r="F122" s="373"/>
      <c r="G122" s="373"/>
      <c r="H122" s="371"/>
      <c r="J122" s="31"/>
      <c r="K122" s="31"/>
      <c r="L122" s="31"/>
      <c r="M122" s="31"/>
      <c r="N122" s="31"/>
      <c r="O122" s="31"/>
      <c r="P122" s="31"/>
      <c r="Q122" s="31"/>
      <c r="R122" s="31"/>
      <c r="S122" s="31"/>
      <c r="T122" s="31"/>
      <c r="U122" s="31"/>
      <c r="V122" s="31"/>
      <c r="W122" s="31"/>
      <c r="X122" s="31"/>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row>
  </sheetData>
  <protectedRanges>
    <protectedRange password="CF66" sqref="I14:I31 I34:I54 I56 I59:I66 I68:I76 I78 I80 I82" name="saldo kolom_1"/>
  </protectedRanges>
  <mergeCells count="33">
    <mergeCell ref="C99:G102"/>
    <mergeCell ref="C103:G106"/>
    <mergeCell ref="C108:G117"/>
    <mergeCell ref="B10:G12"/>
    <mergeCell ref="W11:W12"/>
    <mergeCell ref="U11:U12"/>
    <mergeCell ref="R11:R12"/>
    <mergeCell ref="S11:S12"/>
    <mergeCell ref="D85:L85"/>
    <mergeCell ref="U85:X85"/>
    <mergeCell ref="C13:G13"/>
    <mergeCell ref="E29:G29"/>
    <mergeCell ref="T11:T12"/>
    <mergeCell ref="E52:G52"/>
    <mergeCell ref="P11:P12"/>
    <mergeCell ref="Q11:Q12"/>
    <mergeCell ref="H10:H12"/>
    <mergeCell ref="I10:I12"/>
    <mergeCell ref="J10:X10"/>
    <mergeCell ref="X11:X12"/>
    <mergeCell ref="W9:X9"/>
    <mergeCell ref="B3:O3"/>
    <mergeCell ref="B4:X4"/>
    <mergeCell ref="B5:X5"/>
    <mergeCell ref="B6:X6"/>
    <mergeCell ref="B7:X7"/>
    <mergeCell ref="V11:V12"/>
    <mergeCell ref="J11:J12"/>
    <mergeCell ref="K11:K12"/>
    <mergeCell ref="L11:L12"/>
    <mergeCell ref="M11:M12"/>
    <mergeCell ref="N11:N12"/>
    <mergeCell ref="O11:O12"/>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tint="0.39997558519241921"/>
  </sheetPr>
  <dimension ref="A1:BU122"/>
  <sheetViews>
    <sheetView topLeftCell="N1" zoomScale="80" zoomScaleNormal="60" workbookViewId="0">
      <selection activeCell="J56" sqref="J56"/>
    </sheetView>
  </sheetViews>
  <sheetFormatPr defaultRowHeight="15"/>
  <cols>
    <col min="1" max="1" width="4" style="31" customWidth="1"/>
    <col min="2" max="2" width="5.140625" style="31" customWidth="1"/>
    <col min="3" max="4" width="3.7109375" style="31" customWidth="1"/>
    <col min="5" max="5" width="6" style="31" customWidth="1"/>
    <col min="6" max="6" width="2.7109375" style="31" customWidth="1"/>
    <col min="7" max="7" width="55.85546875" style="31" bestFit="1" customWidth="1"/>
    <col min="8" max="8" width="8.5703125" style="265" customWidth="1"/>
    <col min="9" max="9" width="18.140625" style="32" customWidth="1"/>
    <col min="10" max="10" width="16.85546875" style="31" bestFit="1" customWidth="1"/>
    <col min="11" max="11" width="16.5703125" style="31" customWidth="1"/>
    <col min="12" max="15" width="15.7109375" style="31" customWidth="1"/>
    <col min="16" max="24" width="16.7109375" style="31" customWidth="1"/>
    <col min="25" max="26" width="9.140625" style="21"/>
    <col min="27" max="27" width="12.42578125" style="21" bestFit="1" customWidth="1"/>
    <col min="28" max="28" width="9.140625" style="21"/>
    <col min="29" max="29" width="12.28515625" style="21" bestFit="1" customWidth="1"/>
    <col min="30" max="30" width="11.140625" style="21" bestFit="1" customWidth="1"/>
    <col min="31" max="31" width="12.42578125" style="21" bestFit="1" customWidth="1"/>
    <col min="32" max="32" width="15" style="21" bestFit="1" customWidth="1"/>
    <col min="33" max="33" width="12.42578125" style="21" bestFit="1" customWidth="1"/>
    <col min="34" max="34" width="10.5703125" style="21" bestFit="1" customWidth="1"/>
    <col min="35" max="35" width="9.85546875" style="21" bestFit="1" customWidth="1"/>
    <col min="36" max="73" width="9.140625" style="21"/>
    <col min="74" max="16384" width="9.140625" style="31"/>
  </cols>
  <sheetData>
    <row r="1" spans="1:73" ht="15.75" thickBot="1"/>
    <row r="2" spans="1:73" s="76" customFormat="1" ht="16.5" thickTop="1" thickBot="1">
      <c r="A2" s="33" t="s">
        <v>18</v>
      </c>
      <c r="B2" s="33" t="s">
        <v>19</v>
      </c>
      <c r="C2" s="33" t="s">
        <v>20</v>
      </c>
      <c r="D2" s="33" t="s">
        <v>21</v>
      </c>
      <c r="E2" s="33" t="s">
        <v>22</v>
      </c>
      <c r="F2" s="33" t="s">
        <v>23</v>
      </c>
      <c r="G2" s="33" t="s">
        <v>24</v>
      </c>
      <c r="H2" s="273"/>
      <c r="I2" s="274" t="s">
        <v>25</v>
      </c>
      <c r="J2" s="33" t="s">
        <v>26</v>
      </c>
      <c r="K2" s="33" t="s">
        <v>27</v>
      </c>
      <c r="L2" s="33" t="s">
        <v>28</v>
      </c>
      <c r="M2" s="33" t="s">
        <v>29</v>
      </c>
      <c r="N2" s="33" t="s">
        <v>30</v>
      </c>
      <c r="O2" s="33" t="s">
        <v>31</v>
      </c>
      <c r="P2" s="275"/>
      <c r="Q2" s="275"/>
      <c r="R2" s="275"/>
      <c r="S2" s="275"/>
      <c r="T2" s="275"/>
      <c r="U2" s="275"/>
      <c r="V2" s="275"/>
      <c r="W2" s="275"/>
      <c r="X2" s="275"/>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row>
    <row r="3" spans="1:73" ht="41.25" customHeight="1" thickTop="1">
      <c r="B3" s="1229" t="s">
        <v>235</v>
      </c>
      <c r="C3" s="1229"/>
      <c r="D3" s="1229"/>
      <c r="E3" s="1229"/>
      <c r="F3" s="1229"/>
      <c r="G3" s="1229"/>
      <c r="H3" s="1229"/>
      <c r="I3" s="1229"/>
      <c r="J3" s="1229"/>
      <c r="K3" s="1229"/>
      <c r="L3" s="1229"/>
      <c r="M3" s="1229"/>
      <c r="N3" s="1229"/>
      <c r="O3" s="1229"/>
      <c r="P3" s="375"/>
      <c r="Q3" s="375"/>
      <c r="R3" s="375"/>
      <c r="S3" s="375"/>
      <c r="T3" s="375"/>
      <c r="U3" s="375"/>
      <c r="V3" s="375"/>
      <c r="W3" s="375"/>
      <c r="X3" s="375"/>
    </row>
    <row r="4" spans="1:73" ht="20.25">
      <c r="B4" s="1230" t="s">
        <v>262</v>
      </c>
      <c r="C4" s="1230"/>
      <c r="D4" s="1230"/>
      <c r="E4" s="1230"/>
      <c r="F4" s="1230"/>
      <c r="G4" s="1230"/>
      <c r="H4" s="1230"/>
      <c r="I4" s="1230"/>
      <c r="J4" s="1230"/>
      <c r="K4" s="1230"/>
      <c r="L4" s="1230"/>
      <c r="M4" s="1230"/>
      <c r="N4" s="1230"/>
      <c r="O4" s="1230"/>
      <c r="P4" s="1230"/>
      <c r="Q4" s="1230"/>
      <c r="R4" s="1230"/>
      <c r="S4" s="1230"/>
      <c r="T4" s="1230"/>
      <c r="U4" s="1230"/>
      <c r="V4" s="1230"/>
      <c r="W4" s="1230"/>
      <c r="X4" s="1230"/>
    </row>
    <row r="5" spans="1:73" ht="20.25">
      <c r="B5" s="1230" t="s">
        <v>237</v>
      </c>
      <c r="C5" s="1230"/>
      <c r="D5" s="1230"/>
      <c r="E5" s="1230"/>
      <c r="F5" s="1230"/>
      <c r="G5" s="1230"/>
      <c r="H5" s="1230"/>
      <c r="I5" s="1230"/>
      <c r="J5" s="1230"/>
      <c r="K5" s="1230"/>
      <c r="L5" s="1230"/>
      <c r="M5" s="1230"/>
      <c r="N5" s="1230"/>
      <c r="O5" s="1230"/>
      <c r="P5" s="1230"/>
      <c r="Q5" s="1230"/>
      <c r="R5" s="1230"/>
      <c r="S5" s="1230"/>
      <c r="T5" s="1230"/>
      <c r="U5" s="1230"/>
      <c r="V5" s="1230"/>
      <c r="W5" s="1230"/>
      <c r="X5" s="1230"/>
    </row>
    <row r="6" spans="1:73" ht="20.25">
      <c r="B6" s="1254">
        <v>45777</v>
      </c>
      <c r="C6" s="1230"/>
      <c r="D6" s="1230"/>
      <c r="E6" s="1230"/>
      <c r="F6" s="1230"/>
      <c r="G6" s="1230"/>
      <c r="H6" s="1230"/>
      <c r="I6" s="1230"/>
      <c r="J6" s="1230"/>
      <c r="K6" s="1230"/>
      <c r="L6" s="1230"/>
      <c r="M6" s="1230"/>
      <c r="N6" s="1230"/>
      <c r="O6" s="1230"/>
      <c r="P6" s="1230"/>
      <c r="Q6" s="1230"/>
      <c r="R6" s="1230"/>
      <c r="S6" s="1230"/>
      <c r="T6" s="1230"/>
      <c r="U6" s="1230"/>
      <c r="V6" s="1230"/>
      <c r="W6" s="1230"/>
      <c r="X6" s="1230"/>
    </row>
    <row r="7" spans="1:73" ht="18">
      <c r="B7" s="1232" t="s">
        <v>238</v>
      </c>
      <c r="C7" s="1232"/>
      <c r="D7" s="1232"/>
      <c r="E7" s="1232"/>
      <c r="F7" s="1232"/>
      <c r="G7" s="1232"/>
      <c r="H7" s="1232"/>
      <c r="I7" s="1232"/>
      <c r="J7" s="1232"/>
      <c r="K7" s="1232"/>
      <c r="L7" s="1232"/>
      <c r="M7" s="1232"/>
      <c r="N7" s="1232"/>
      <c r="O7" s="1232"/>
      <c r="P7" s="1232"/>
      <c r="Q7" s="1232"/>
      <c r="R7" s="1232"/>
      <c r="S7" s="1232"/>
      <c r="T7" s="1232"/>
      <c r="U7" s="1232"/>
      <c r="V7" s="1232"/>
      <c r="W7" s="1232"/>
      <c r="X7" s="1232"/>
    </row>
    <row r="8" spans="1:73" ht="15" customHeight="1">
      <c r="B8" s="267"/>
      <c r="C8" s="267"/>
      <c r="D8" s="267"/>
      <c r="E8" s="267"/>
      <c r="F8" s="267"/>
      <c r="G8" s="267"/>
      <c r="H8" s="268"/>
      <c r="I8" s="476" t="s">
        <v>263</v>
      </c>
      <c r="J8" s="224">
        <f>O9</f>
        <v>1318744.58821</v>
      </c>
      <c r="K8" s="224"/>
      <c r="L8" s="225"/>
      <c r="M8" s="1165">
        <f>SUM(J14:L14)</f>
        <v>1406607</v>
      </c>
      <c r="N8" s="1165">
        <f>SUM(J59:L59)</f>
        <v>37990.588210000002</v>
      </c>
      <c r="O8" s="224">
        <f>M8+N8</f>
        <v>1444597.58821</v>
      </c>
      <c r="P8" s="224" t="s">
        <v>264</v>
      </c>
      <c r="Q8" s="1166">
        <f>O8/O9</f>
        <v>1.0954339461372324</v>
      </c>
      <c r="R8" s="267"/>
      <c r="S8" s="267"/>
      <c r="T8" s="267"/>
      <c r="U8" s="266"/>
      <c r="V8" s="266"/>
      <c r="W8" s="267"/>
      <c r="X8" s="267"/>
    </row>
    <row r="9" spans="1:73" ht="15.75" thickBot="1">
      <c r="B9" s="21"/>
      <c r="C9" s="21"/>
      <c r="D9" s="21"/>
      <c r="E9" s="21"/>
      <c r="F9" s="21"/>
      <c r="G9" s="21"/>
      <c r="H9" s="477"/>
      <c r="I9" s="476" t="s">
        <v>265</v>
      </c>
      <c r="J9" s="224">
        <f>O8</f>
        <v>1444597.58821</v>
      </c>
      <c r="K9" s="224">
        <f>+J9-J8</f>
        <v>125853</v>
      </c>
      <c r="L9" s="21">
        <f>+J9/J8*10000%</f>
        <v>109.54339461372325</v>
      </c>
      <c r="M9" s="571">
        <f>SUM(J34:L34)</f>
        <v>1280754</v>
      </c>
      <c r="N9" s="571">
        <f>SUM(J68:L68)</f>
        <v>37990.588210000002</v>
      </c>
      <c r="O9" s="1167">
        <f>+M9+N9</f>
        <v>1318744.58821</v>
      </c>
      <c r="P9" s="476" t="s">
        <v>266</v>
      </c>
      <c r="Q9" s="277"/>
      <c r="R9" s="277"/>
      <c r="S9" s="277"/>
      <c r="T9" s="277"/>
      <c r="U9" s="277"/>
      <c r="V9" s="277"/>
      <c r="W9" s="1228" t="s">
        <v>239</v>
      </c>
      <c r="X9" s="1228"/>
    </row>
    <row r="10" spans="1:73" s="34" customFormat="1" ht="26.25" customHeight="1" thickBot="1">
      <c r="B10" s="1248" t="s">
        <v>40</v>
      </c>
      <c r="C10" s="1249"/>
      <c r="D10" s="1249"/>
      <c r="E10" s="1249"/>
      <c r="F10" s="1249"/>
      <c r="G10" s="1249"/>
      <c r="H10" s="1237" t="s">
        <v>240</v>
      </c>
      <c r="I10" s="1240" t="s">
        <v>241</v>
      </c>
      <c r="J10" s="1243" t="s">
        <v>242</v>
      </c>
      <c r="K10" s="1244"/>
      <c r="L10" s="1244"/>
      <c r="M10" s="1244"/>
      <c r="N10" s="1244"/>
      <c r="O10" s="1244"/>
      <c r="P10" s="1244"/>
      <c r="Q10" s="1244"/>
      <c r="R10" s="1244"/>
      <c r="S10" s="1244"/>
      <c r="T10" s="1244"/>
      <c r="U10" s="1244"/>
      <c r="V10" s="1244"/>
      <c r="W10" s="1244"/>
      <c r="X10" s="1245"/>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row>
    <row r="11" spans="1:73" ht="26.25" customHeight="1">
      <c r="B11" s="1250"/>
      <c r="C11" s="1251"/>
      <c r="D11" s="1251"/>
      <c r="E11" s="1251"/>
      <c r="F11" s="1251"/>
      <c r="G11" s="1251"/>
      <c r="H11" s="1238"/>
      <c r="I11" s="1241"/>
      <c r="J11" s="1224" t="s">
        <v>243</v>
      </c>
      <c r="K11" s="1226" t="s">
        <v>244</v>
      </c>
      <c r="L11" s="1226" t="s">
        <v>245</v>
      </c>
      <c r="M11" s="1226" t="s">
        <v>246</v>
      </c>
      <c r="N11" s="1226" t="s">
        <v>247</v>
      </c>
      <c r="O11" s="1226" t="s">
        <v>248</v>
      </c>
      <c r="P11" s="1222" t="s">
        <v>53</v>
      </c>
      <c r="Q11" s="1222" t="s">
        <v>54</v>
      </c>
      <c r="R11" s="1222" t="s">
        <v>55</v>
      </c>
      <c r="S11" s="1222" t="s">
        <v>56</v>
      </c>
      <c r="T11" s="1222" t="s">
        <v>57</v>
      </c>
      <c r="U11" s="1222" t="s">
        <v>58</v>
      </c>
      <c r="V11" s="1222" t="s">
        <v>59</v>
      </c>
      <c r="W11" s="1222" t="s">
        <v>60</v>
      </c>
      <c r="X11" s="1222" t="s">
        <v>61</v>
      </c>
    </row>
    <row r="12" spans="1:73" ht="26.25" customHeight="1" thickBot="1">
      <c r="B12" s="1252"/>
      <c r="C12" s="1253"/>
      <c r="D12" s="1253"/>
      <c r="E12" s="1253"/>
      <c r="F12" s="1253"/>
      <c r="G12" s="1253"/>
      <c r="H12" s="1239"/>
      <c r="I12" s="1242"/>
      <c r="J12" s="1225"/>
      <c r="K12" s="1227"/>
      <c r="L12" s="1227"/>
      <c r="M12" s="1227"/>
      <c r="N12" s="1227"/>
      <c r="O12" s="1227"/>
      <c r="P12" s="1223"/>
      <c r="Q12" s="1223"/>
      <c r="R12" s="1223"/>
      <c r="S12" s="1223"/>
      <c r="T12" s="1223"/>
      <c r="U12" s="1223"/>
      <c r="V12" s="1223"/>
      <c r="W12" s="1223"/>
      <c r="X12" s="1223"/>
    </row>
    <row r="13" spans="1:73">
      <c r="B13" s="278" t="s">
        <v>63</v>
      </c>
      <c r="C13" s="1234" t="s">
        <v>64</v>
      </c>
      <c r="D13" s="1234"/>
      <c r="E13" s="1234"/>
      <c r="F13" s="1234"/>
      <c r="G13" s="1234"/>
      <c r="H13" s="279"/>
      <c r="I13" s="280"/>
      <c r="J13" s="281"/>
      <c r="K13" s="282"/>
      <c r="L13" s="282"/>
      <c r="M13" s="283"/>
      <c r="N13" s="284"/>
      <c r="O13" s="283"/>
      <c r="P13" s="285"/>
      <c r="Q13" s="286"/>
      <c r="R13" s="286"/>
      <c r="S13" s="286"/>
      <c r="T13" s="286"/>
      <c r="U13" s="286"/>
      <c r="V13" s="286"/>
      <c r="W13" s="286"/>
      <c r="X13" s="286"/>
    </row>
    <row r="14" spans="1:73" s="35" customFormat="1" ht="15.75" thickBot="1">
      <c r="B14" s="745" t="s">
        <v>65</v>
      </c>
      <c r="C14" s="1111" t="s">
        <v>3</v>
      </c>
      <c r="D14" s="1112"/>
      <c r="E14" s="1112"/>
      <c r="F14" s="1112"/>
      <c r="G14" s="1112"/>
      <c r="H14" s="1113">
        <v>10000</v>
      </c>
      <c r="I14" s="1114">
        <f>ROUND(SUM(J14:X14),0)</f>
        <v>2287215</v>
      </c>
      <c r="J14" s="1115">
        <f>ROUND(+J15+J16+J17+J18+J25+J28+J31,0)</f>
        <v>1360572</v>
      </c>
      <c r="K14" s="1115">
        <f t="shared" ref="K14:X14" si="0">ROUND(+K15+K16+K17+K18+K25+K28+K31,0)</f>
        <v>42218</v>
      </c>
      <c r="L14" s="1115">
        <f t="shared" si="0"/>
        <v>3817</v>
      </c>
      <c r="M14" s="1115">
        <f t="shared" si="0"/>
        <v>45651</v>
      </c>
      <c r="N14" s="1115">
        <f t="shared" si="0"/>
        <v>30627</v>
      </c>
      <c r="O14" s="1115">
        <f t="shared" si="0"/>
        <v>56775</v>
      </c>
      <c r="P14" s="1115">
        <f t="shared" si="0"/>
        <v>122252</v>
      </c>
      <c r="Q14" s="1115">
        <f t="shared" si="0"/>
        <v>262744</v>
      </c>
      <c r="R14" s="1115">
        <f t="shared" si="0"/>
        <v>43258</v>
      </c>
      <c r="S14" s="1115">
        <f t="shared" si="0"/>
        <v>104352</v>
      </c>
      <c r="T14" s="1115">
        <f t="shared" si="0"/>
        <v>138032</v>
      </c>
      <c r="U14" s="1115">
        <f t="shared" si="0"/>
        <v>73707</v>
      </c>
      <c r="V14" s="1115">
        <f t="shared" si="0"/>
        <v>0</v>
      </c>
      <c r="W14" s="1115">
        <f t="shared" si="0"/>
        <v>0</v>
      </c>
      <c r="X14" s="1115">
        <f t="shared" si="0"/>
        <v>3210</v>
      </c>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row>
    <row r="15" spans="1:73" s="35" customFormat="1" ht="15.75" thickBot="1">
      <c r="B15" s="287"/>
      <c r="C15" s="288" t="s">
        <v>66</v>
      </c>
      <c r="D15" s="289" t="s">
        <v>67</v>
      </c>
      <c r="E15" s="289"/>
      <c r="F15" s="289"/>
      <c r="G15" s="289"/>
      <c r="H15" s="229">
        <v>10100</v>
      </c>
      <c r="I15" s="230">
        <f t="shared" ref="I15:I31" si="1">ROUND(SUM(J15:X15),0)</f>
        <v>1</v>
      </c>
      <c r="J15" s="269">
        <f>+'[2]Maturity Profile (Eng)'!J15</f>
        <v>0.54010000000000002</v>
      </c>
      <c r="K15" s="269">
        <f>+'[2]Maturity Profile (Eng)'!K15</f>
        <v>0</v>
      </c>
      <c r="L15" s="269">
        <f>+'[2]Maturity Profile (Eng)'!L15</f>
        <v>0</v>
      </c>
      <c r="M15" s="269">
        <f>+'[2]Maturity Profile (Eng)'!M15</f>
        <v>0</v>
      </c>
      <c r="N15" s="269">
        <f>+'[2]Maturity Profile (Eng)'!N15</f>
        <v>0</v>
      </c>
      <c r="O15" s="269">
        <f>+'[2]Maturity Profile (Eng)'!O15</f>
        <v>0</v>
      </c>
      <c r="P15" s="269">
        <f>+'[2]Maturity Profile (Eng)'!P15</f>
        <v>0</v>
      </c>
      <c r="Q15" s="269">
        <f>+'[2]Maturity Profile (Eng)'!Q15</f>
        <v>0</v>
      </c>
      <c r="R15" s="269">
        <f>+'[2]Maturity Profile (Eng)'!R15</f>
        <v>0</v>
      </c>
      <c r="S15" s="269">
        <f>+'[2]Maturity Profile (Eng)'!S15</f>
        <v>0</v>
      </c>
      <c r="T15" s="269">
        <f>+'[2]Maturity Profile (Eng)'!T15</f>
        <v>0</v>
      </c>
      <c r="U15" s="269">
        <f>+'[2]Maturity Profile (Eng)'!U15</f>
        <v>0</v>
      </c>
      <c r="V15" s="269">
        <f>+'[2]Maturity Profile (Eng)'!V15</f>
        <v>0</v>
      </c>
      <c r="W15" s="269">
        <f>+'[2]Maturity Profile (Eng)'!W15</f>
        <v>0</v>
      </c>
      <c r="X15" s="269">
        <f>+'[2]Maturity Profile (Eng)'!X15</f>
        <v>0</v>
      </c>
      <c r="Y15" s="25" t="s">
        <v>267</v>
      </c>
      <c r="Z15" s="25" t="s">
        <v>268</v>
      </c>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row>
    <row r="16" spans="1:73" s="35" customFormat="1" ht="15.75" thickBot="1">
      <c r="B16" s="292"/>
      <c r="C16" s="293" t="s">
        <v>73</v>
      </c>
      <c r="D16" s="294" t="s">
        <v>74</v>
      </c>
      <c r="E16" s="294"/>
      <c r="F16" s="294"/>
      <c r="G16" s="294"/>
      <c r="H16" s="229">
        <v>10200</v>
      </c>
      <c r="I16" s="230">
        <f t="shared" si="1"/>
        <v>0</v>
      </c>
      <c r="J16" s="269">
        <f>+'[2]Maturity Profile (Eng)'!J16</f>
        <v>0</v>
      </c>
      <c r="K16" s="269">
        <f>+'[2]Maturity Profile (Eng)'!K16</f>
        <v>0</v>
      </c>
      <c r="L16" s="269">
        <f>+'[2]Maturity Profile (Eng)'!L16</f>
        <v>0</v>
      </c>
      <c r="M16" s="269">
        <f>+'[2]Maturity Profile (Eng)'!M16</f>
        <v>0</v>
      </c>
      <c r="N16" s="269">
        <f>+'[2]Maturity Profile (Eng)'!N16</f>
        <v>0</v>
      </c>
      <c r="O16" s="269">
        <f>+'[2]Maturity Profile (Eng)'!O16</f>
        <v>0</v>
      </c>
      <c r="P16" s="269">
        <f>+'[2]Maturity Profile (Eng)'!P16</f>
        <v>0</v>
      </c>
      <c r="Q16" s="269">
        <f>+'[2]Maturity Profile (Eng)'!Q16</f>
        <v>0</v>
      </c>
      <c r="R16" s="269">
        <f>+'[2]Maturity Profile (Eng)'!R16</f>
        <v>0</v>
      </c>
      <c r="S16" s="269">
        <f>+'[2]Maturity Profile (Eng)'!S16</f>
        <v>0</v>
      </c>
      <c r="T16" s="269">
        <f>+'[2]Maturity Profile (Eng)'!T16</f>
        <v>0</v>
      </c>
      <c r="U16" s="269">
        <f>+'[2]Maturity Profile (Eng)'!U16</f>
        <v>0</v>
      </c>
      <c r="V16" s="269">
        <f>+'[2]Maturity Profile (Eng)'!V16</f>
        <v>0</v>
      </c>
      <c r="W16" s="269">
        <f>+'[2]Maturity Profile (Eng)'!W16</f>
        <v>0</v>
      </c>
      <c r="X16" s="269">
        <f>+'[2]Maturity Profile (Eng)'!X16</f>
        <v>0</v>
      </c>
      <c r="Y16" s="25"/>
      <c r="Z16" s="25" t="s">
        <v>269</v>
      </c>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row>
    <row r="17" spans="2:73" s="35" customFormat="1" ht="15.75" thickBot="1">
      <c r="B17" s="287"/>
      <c r="C17" s="288" t="s">
        <v>77</v>
      </c>
      <c r="D17" s="289" t="s">
        <v>78</v>
      </c>
      <c r="E17" s="289"/>
      <c r="F17" s="289"/>
      <c r="G17" s="289"/>
      <c r="H17" s="231">
        <v>10300</v>
      </c>
      <c r="I17" s="230">
        <f t="shared" si="1"/>
        <v>1422989</v>
      </c>
      <c r="J17" s="269">
        <f>+'[2]Maturity Profile (Eng)'!J17</f>
        <v>1358988.62882</v>
      </c>
      <c r="K17" s="269">
        <f>+'[2]Maturity Profile (Eng)'!K17</f>
        <v>40000</v>
      </c>
      <c r="L17" s="269">
        <f>+'[2]Maturity Profile (Eng)'!L17</f>
        <v>0</v>
      </c>
      <c r="M17" s="269">
        <f>+'[2]Maturity Profile (Eng)'!M17</f>
        <v>24000</v>
      </c>
      <c r="N17" s="269">
        <f>+'[2]Maturity Profile (Eng)'!N17</f>
        <v>0</v>
      </c>
      <c r="O17" s="269">
        <f>+'[2]Maturity Profile (Eng)'!O17</f>
        <v>0</v>
      </c>
      <c r="P17" s="269">
        <f>+'[2]Maturity Profile (Eng)'!P17</f>
        <v>0</v>
      </c>
      <c r="Q17" s="269">
        <f>+'[2]Maturity Profile (Eng)'!Q17</f>
        <v>0</v>
      </c>
      <c r="R17" s="269">
        <f>+'[2]Maturity Profile (Eng)'!R17</f>
        <v>0</v>
      </c>
      <c r="S17" s="269">
        <f>+'[2]Maturity Profile (Eng)'!S17</f>
        <v>0</v>
      </c>
      <c r="T17" s="269">
        <f>+'[2]Maturity Profile (Eng)'!T17</f>
        <v>0</v>
      </c>
      <c r="U17" s="269">
        <f>+'[2]Maturity Profile (Eng)'!U17</f>
        <v>0</v>
      </c>
      <c r="V17" s="269">
        <f>+'[2]Maturity Profile (Eng)'!V17</f>
        <v>0</v>
      </c>
      <c r="W17" s="269">
        <f>+'[2]Maturity Profile (Eng)'!W17</f>
        <v>0</v>
      </c>
      <c r="X17" s="269">
        <f>+'[2]Maturity Profile (Eng)'!X17</f>
        <v>0</v>
      </c>
      <c r="Y17" s="25" t="s">
        <v>267</v>
      </c>
      <c r="Z17" s="25" t="s">
        <v>270</v>
      </c>
      <c r="AA17" s="25"/>
      <c r="AB17" s="25"/>
      <c r="AC17" s="25"/>
      <c r="AD17" s="25"/>
      <c r="AE17" s="25"/>
      <c r="AF17" s="29">
        <f>(243578452.62+130258.76+140000000)/1000</f>
        <v>383708.71137999999</v>
      </c>
      <c r="AG17" s="29"/>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row>
    <row r="18" spans="2:73" s="35" customFormat="1">
      <c r="B18" s="287"/>
      <c r="C18" s="288" t="s">
        <v>81</v>
      </c>
      <c r="D18" s="289" t="s">
        <v>82</v>
      </c>
      <c r="E18" s="289"/>
      <c r="F18" s="289"/>
      <c r="G18" s="289"/>
      <c r="H18" s="229">
        <v>10400</v>
      </c>
      <c r="I18" s="230">
        <f t="shared" si="1"/>
        <v>142900</v>
      </c>
      <c r="J18" s="232">
        <f>+J19+J24</f>
        <v>0</v>
      </c>
      <c r="K18" s="232">
        <f t="shared" ref="K18:X18" si="2">+K19+K24</f>
        <v>0</v>
      </c>
      <c r="L18" s="232">
        <f t="shared" si="2"/>
        <v>0</v>
      </c>
      <c r="M18" s="232">
        <f t="shared" si="2"/>
        <v>5005.3499999999995</v>
      </c>
      <c r="N18" s="232">
        <f t="shared" si="2"/>
        <v>0</v>
      </c>
      <c r="O18" s="232">
        <f t="shared" si="2"/>
        <v>7482.273156474821</v>
      </c>
      <c r="P18" s="232">
        <f t="shared" si="2"/>
        <v>13396.150552652853</v>
      </c>
      <c r="Q18" s="232">
        <f t="shared" si="2"/>
        <v>0</v>
      </c>
      <c r="R18" s="232">
        <f t="shared" si="2"/>
        <v>12163.553131524008</v>
      </c>
      <c r="S18" s="232">
        <f t="shared" si="2"/>
        <v>19385.886234664667</v>
      </c>
      <c r="T18" s="232">
        <f t="shared" si="2"/>
        <v>68548.901265819586</v>
      </c>
      <c r="U18" s="232">
        <f t="shared" si="2"/>
        <v>13707.811686460971</v>
      </c>
      <c r="V18" s="232">
        <f t="shared" si="2"/>
        <v>0</v>
      </c>
      <c r="W18" s="232">
        <f t="shared" si="2"/>
        <v>0</v>
      </c>
      <c r="X18" s="232">
        <f t="shared" si="2"/>
        <v>3209.8999999999996</v>
      </c>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row>
    <row r="19" spans="2:73" s="35" customFormat="1">
      <c r="B19" s="1116"/>
      <c r="C19" s="1117"/>
      <c r="D19" s="1118" t="s">
        <v>84</v>
      </c>
      <c r="E19" s="1118" t="s">
        <v>85</v>
      </c>
      <c r="F19" s="1118"/>
      <c r="G19" s="1118"/>
      <c r="H19" s="747">
        <v>10420</v>
      </c>
      <c r="I19" s="748">
        <f t="shared" si="1"/>
        <v>142900</v>
      </c>
      <c r="J19" s="1119">
        <f>+SUM(J20:J23)</f>
        <v>0</v>
      </c>
      <c r="K19" s="1119">
        <f t="shared" ref="K19:X19" si="3">+SUM(K20:K23)</f>
        <v>0</v>
      </c>
      <c r="L19" s="1119">
        <f t="shared" si="3"/>
        <v>0</v>
      </c>
      <c r="M19" s="1119">
        <f t="shared" si="3"/>
        <v>5005.3499999999995</v>
      </c>
      <c r="N19" s="1119">
        <f t="shared" si="3"/>
        <v>0</v>
      </c>
      <c r="O19" s="1119">
        <f t="shared" si="3"/>
        <v>7482.273156474821</v>
      </c>
      <c r="P19" s="1119">
        <f t="shared" si="3"/>
        <v>13396.150552652853</v>
      </c>
      <c r="Q19" s="1119">
        <f t="shared" si="3"/>
        <v>0</v>
      </c>
      <c r="R19" s="1119">
        <f t="shared" si="3"/>
        <v>12163.553131524008</v>
      </c>
      <c r="S19" s="1119">
        <f t="shared" si="3"/>
        <v>19385.886234664667</v>
      </c>
      <c r="T19" s="1119">
        <f t="shared" si="3"/>
        <v>68548.901265819586</v>
      </c>
      <c r="U19" s="1119">
        <f t="shared" si="3"/>
        <v>13707.811686460971</v>
      </c>
      <c r="V19" s="1119">
        <f t="shared" si="3"/>
        <v>0</v>
      </c>
      <c r="W19" s="1119">
        <f t="shared" si="3"/>
        <v>0</v>
      </c>
      <c r="X19" s="1119">
        <f t="shared" si="3"/>
        <v>3209.8999999999996</v>
      </c>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row>
    <row r="20" spans="2:73" s="35" customFormat="1">
      <c r="B20" s="1120"/>
      <c r="C20" s="1121"/>
      <c r="D20" s="1122"/>
      <c r="E20" s="297" t="s">
        <v>87</v>
      </c>
      <c r="F20" s="297" t="s">
        <v>88</v>
      </c>
      <c r="G20" s="297"/>
      <c r="H20" s="749">
        <v>10421</v>
      </c>
      <c r="I20" s="750">
        <f t="shared" si="1"/>
        <v>0</v>
      </c>
      <c r="J20" s="751">
        <f>+'[2]Maturity Profile (Eng)'!J20</f>
        <v>0</v>
      </c>
      <c r="K20" s="751">
        <f>+'[2]Maturity Profile (Eng)'!K20</f>
        <v>0</v>
      </c>
      <c r="L20" s="751">
        <f>+'[2]Maturity Profile (Eng)'!L20</f>
        <v>0</v>
      </c>
      <c r="M20" s="751">
        <f>+'[2]Maturity Profile (Eng)'!M20</f>
        <v>0</v>
      </c>
      <c r="N20" s="751">
        <f>+'[2]Maturity Profile (Eng)'!N20</f>
        <v>0</v>
      </c>
      <c r="O20" s="751">
        <f>+'[2]Maturity Profile (Eng)'!O20</f>
        <v>0</v>
      </c>
      <c r="P20" s="751">
        <f>+'[2]Maturity Profile (Eng)'!P20</f>
        <v>0</v>
      </c>
      <c r="Q20" s="751">
        <f>+'[2]Maturity Profile (Eng)'!Q20</f>
        <v>0</v>
      </c>
      <c r="R20" s="751">
        <f>+'[2]Maturity Profile (Eng)'!R20</f>
        <v>0</v>
      </c>
      <c r="S20" s="751">
        <f>+'[2]Maturity Profile (Eng)'!S20</f>
        <v>0</v>
      </c>
      <c r="T20" s="751">
        <f>+'[2]Maturity Profile (Eng)'!T20</f>
        <v>0</v>
      </c>
      <c r="U20" s="751">
        <f>+'[2]Maturity Profile (Eng)'!U20</f>
        <v>0</v>
      </c>
      <c r="V20" s="751">
        <f>+'[2]Maturity Profile (Eng)'!V20</f>
        <v>0</v>
      </c>
      <c r="W20" s="751">
        <f>+'[2]Maturity Profile (Eng)'!W20</f>
        <v>0</v>
      </c>
      <c r="X20" s="751">
        <f>+'[2]Maturity Profile (Eng)'!X20</f>
        <v>0</v>
      </c>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row>
    <row r="21" spans="2:73" s="35" customFormat="1">
      <c r="B21" s="298"/>
      <c r="C21" s="34"/>
      <c r="E21" s="299" t="s">
        <v>90</v>
      </c>
      <c r="F21" s="299" t="s">
        <v>91</v>
      </c>
      <c r="G21" s="299"/>
      <c r="H21" s="233">
        <v>10422</v>
      </c>
      <c r="I21" s="234">
        <f t="shared" si="1"/>
        <v>74837</v>
      </c>
      <c r="J21" s="751">
        <f>+'[2]Maturity Profile (Eng)'!J21</f>
        <v>0</v>
      </c>
      <c r="K21" s="751">
        <f>+'[2]Maturity Profile (Eng)'!K21</f>
        <v>0</v>
      </c>
      <c r="L21" s="751">
        <f>+'[2]Maturity Profile (Eng)'!L21</f>
        <v>0</v>
      </c>
      <c r="M21" s="751">
        <f>+'[2]Maturity Profile (Eng)'!M21</f>
        <v>5005.3499999999995</v>
      </c>
      <c r="N21" s="751">
        <f>+'[2]Maturity Profile (Eng)'!N21</f>
        <v>0</v>
      </c>
      <c r="O21" s="751">
        <f>+'[2]Maturity Profile (Eng)'!O21</f>
        <v>4980.75</v>
      </c>
      <c r="P21" s="751">
        <f>+'[2]Maturity Profile (Eng)'!P21</f>
        <v>7390.6632812500002</v>
      </c>
      <c r="Q21" s="751">
        <f>+'[2]Maturity Profile (Eng)'!Q21</f>
        <v>0</v>
      </c>
      <c r="R21" s="751">
        <f>+'[2]Maturity Profile (Eng)'!R21</f>
        <v>9810.0499999999993</v>
      </c>
      <c r="S21" s="751">
        <f>+'[2]Maturity Profile (Eng)'!S21</f>
        <v>15389.288437499999</v>
      </c>
      <c r="T21" s="751">
        <f>+'[2]Maturity Profile (Eng)'!T21</f>
        <v>24303.4</v>
      </c>
      <c r="U21" s="751">
        <f>+'[2]Maturity Profile (Eng)'!U21</f>
        <v>4747.8500000000004</v>
      </c>
      <c r="V21" s="751">
        <f>+'[2]Maturity Profile (Eng)'!V21</f>
        <v>0</v>
      </c>
      <c r="W21" s="751">
        <f>+'[2]Maturity Profile (Eng)'!W21</f>
        <v>0</v>
      </c>
      <c r="X21" s="751">
        <f>+'[2]Maturity Profile (Eng)'!X21</f>
        <v>3209.8999999999996</v>
      </c>
      <c r="Y21" s="25" t="s">
        <v>267</v>
      </c>
      <c r="Z21" s="25" t="s">
        <v>271</v>
      </c>
      <c r="AA21" s="25"/>
      <c r="AB21" s="25"/>
      <c r="AC21" s="25"/>
      <c r="AD21" s="25"/>
      <c r="AE21" s="25"/>
      <c r="AF21" s="25"/>
      <c r="AG21" s="25"/>
      <c r="AH21" s="25">
        <f>(60500000+12978.45+30000000+7500000+3633905.36+513059.34)/1000</f>
        <v>102159.94315000001</v>
      </c>
      <c r="AI21" s="30">
        <f>I21</f>
        <v>74837</v>
      </c>
      <c r="AJ21" s="30">
        <f>AH21-AI21</f>
        <v>27322.943150000006</v>
      </c>
      <c r="AK21" s="25" t="s">
        <v>272</v>
      </c>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row>
    <row r="22" spans="2:73" s="35" customFormat="1">
      <c r="B22" s="298"/>
      <c r="C22" s="34"/>
      <c r="E22" s="299" t="s">
        <v>93</v>
      </c>
      <c r="F22" s="299" t="s">
        <v>94</v>
      </c>
      <c r="G22" s="299"/>
      <c r="H22" s="233">
        <v>10423</v>
      </c>
      <c r="I22" s="234">
        <f t="shared" si="1"/>
        <v>68063</v>
      </c>
      <c r="J22" s="270">
        <f>+'[2]Maturity Profile (Eng)'!J22</f>
        <v>0</v>
      </c>
      <c r="K22" s="751">
        <f>+'[2]Maturity Profile (Eng)'!K22</f>
        <v>0</v>
      </c>
      <c r="L22" s="751">
        <f>+'[2]Maturity Profile (Eng)'!L22</f>
        <v>0</v>
      </c>
      <c r="M22" s="751">
        <f>+'[2]Maturity Profile (Eng)'!M22</f>
        <v>0</v>
      </c>
      <c r="N22" s="751">
        <f>+'[2]Maturity Profile (Eng)'!N22</f>
        <v>0</v>
      </c>
      <c r="O22" s="751">
        <f>+'[2]Maturity Profile (Eng)'!O22</f>
        <v>2501.5231564748206</v>
      </c>
      <c r="P22" s="751">
        <f>+'[2]Maturity Profile (Eng)'!P22</f>
        <v>6005.4872714028525</v>
      </c>
      <c r="Q22" s="751">
        <f>+'[2]Maturity Profile (Eng)'!Q22</f>
        <v>0</v>
      </c>
      <c r="R22" s="751">
        <f>+'[2]Maturity Profile (Eng)'!R22</f>
        <v>2353.503131524008</v>
      </c>
      <c r="S22" s="751">
        <f>+'[2]Maturity Profile (Eng)'!S22</f>
        <v>3996.5977971646676</v>
      </c>
      <c r="T22" s="751">
        <f>+'[2]Maturity Profile (Eng)'!T22</f>
        <v>44245.501265819592</v>
      </c>
      <c r="U22" s="751">
        <f>+'[2]Maturity Profile (Eng)'!U22</f>
        <v>8959.9616864609707</v>
      </c>
      <c r="V22" s="751">
        <f>+'[2]Maturity Profile (Eng)'!V22</f>
        <v>0</v>
      </c>
      <c r="W22" s="751">
        <f>+'[2]Maturity Profile (Eng)'!W22</f>
        <v>0</v>
      </c>
      <c r="X22" s="751">
        <f>+'[2]Maturity Profile (Eng)'!X22</f>
        <v>0</v>
      </c>
      <c r="Y22" s="25" t="s">
        <v>267</v>
      </c>
      <c r="Z22" s="25" t="s">
        <v>273</v>
      </c>
      <c r="AA22" s="25"/>
      <c r="AB22" s="25"/>
      <c r="AC22" s="30"/>
      <c r="AD22" s="25"/>
      <c r="AE22" s="25">
        <f>(70500000-418782.02)/1000</f>
        <v>70081.217980000001</v>
      </c>
      <c r="AF22" s="30">
        <f>I22</f>
        <v>68063</v>
      </c>
      <c r="AG22" s="30">
        <f>AF22-AE22</f>
        <v>-2018.2179800000013</v>
      </c>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row>
    <row r="23" spans="2:73" s="35" customFormat="1">
      <c r="B23" s="302"/>
      <c r="C23" s="303"/>
      <c r="D23" s="304"/>
      <c r="E23" s="305" t="s">
        <v>97</v>
      </c>
      <c r="F23" s="305" t="s">
        <v>98</v>
      </c>
      <c r="G23" s="305"/>
      <c r="H23" s="235">
        <v>10424</v>
      </c>
      <c r="I23" s="236">
        <f>ROUND(SUM(J23:X23),0)</f>
        <v>0</v>
      </c>
      <c r="J23" s="270">
        <f>+'[2]Maturity Profile (Eng)'!J23</f>
        <v>0</v>
      </c>
      <c r="K23" s="751">
        <f>+'[2]Maturity Profile (Eng)'!K23</f>
        <v>0</v>
      </c>
      <c r="L23" s="751">
        <f>+'[2]Maturity Profile (Eng)'!L23</f>
        <v>0</v>
      </c>
      <c r="M23" s="751">
        <f>+'[2]Maturity Profile (Eng)'!M23</f>
        <v>0</v>
      </c>
      <c r="N23" s="751">
        <f>+'[2]Maturity Profile (Eng)'!N23</f>
        <v>0</v>
      </c>
      <c r="O23" s="751">
        <f>+'[2]Maturity Profile (Eng)'!O23</f>
        <v>0</v>
      </c>
      <c r="P23" s="751">
        <f>+'[2]Maturity Profile (Eng)'!P23</f>
        <v>0</v>
      </c>
      <c r="Q23" s="751">
        <f>+'[2]Maturity Profile (Eng)'!Q23</f>
        <v>0</v>
      </c>
      <c r="R23" s="751">
        <f>+'[2]Maturity Profile (Eng)'!R23</f>
        <v>0</v>
      </c>
      <c r="S23" s="751">
        <f>+'[2]Maturity Profile (Eng)'!S23</f>
        <v>0</v>
      </c>
      <c r="T23" s="751">
        <f>+'[2]Maturity Profile (Eng)'!T23</f>
        <v>0</v>
      </c>
      <c r="U23" s="751">
        <f>+'[2]Maturity Profile (Eng)'!U23</f>
        <v>0</v>
      </c>
      <c r="V23" s="751">
        <f>+'[2]Maturity Profile (Eng)'!V23</f>
        <v>0</v>
      </c>
      <c r="W23" s="751">
        <f>+'[2]Maturity Profile (Eng)'!W23</f>
        <v>0</v>
      </c>
      <c r="X23" s="751">
        <f>+'[2]Maturity Profile (Eng)'!X23</f>
        <v>0</v>
      </c>
      <c r="Y23" s="25"/>
      <c r="Z23" s="25"/>
      <c r="AA23" s="25" t="s">
        <v>274</v>
      </c>
      <c r="AB23" s="25"/>
      <c r="AC23" s="25"/>
      <c r="AD23" s="25"/>
      <c r="AE23" s="25">
        <v>0</v>
      </c>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row>
    <row r="24" spans="2:73" s="35" customFormat="1" ht="15.75" thickBot="1">
      <c r="B24" s="752"/>
      <c r="C24" s="753"/>
      <c r="D24" s="754" t="s">
        <v>100</v>
      </c>
      <c r="E24" s="754" t="s">
        <v>101</v>
      </c>
      <c r="F24" s="754"/>
      <c r="G24" s="754"/>
      <c r="H24" s="755">
        <v>10490</v>
      </c>
      <c r="I24" s="756">
        <f t="shared" si="1"/>
        <v>0</v>
      </c>
      <c r="J24" s="270">
        <f>+'[2]Maturity Profile (Eng)'!J24</f>
        <v>0</v>
      </c>
      <c r="K24" s="751">
        <f>+'[2]Maturity Profile (Eng)'!K24</f>
        <v>0</v>
      </c>
      <c r="L24" s="751">
        <f>+'[2]Maturity Profile (Eng)'!L24</f>
        <v>0</v>
      </c>
      <c r="M24" s="751">
        <f>+'[2]Maturity Profile (Eng)'!M24</f>
        <v>0</v>
      </c>
      <c r="N24" s="751">
        <f>+'[2]Maturity Profile (Eng)'!N24</f>
        <v>0</v>
      </c>
      <c r="O24" s="751">
        <f>+'[2]Maturity Profile (Eng)'!O24</f>
        <v>0</v>
      </c>
      <c r="P24" s="751">
        <f>+'[2]Maturity Profile (Eng)'!P24</f>
        <v>0</v>
      </c>
      <c r="Q24" s="751">
        <f>+'[2]Maturity Profile (Eng)'!Q24</f>
        <v>0</v>
      </c>
      <c r="R24" s="751">
        <f>+'[2]Maturity Profile (Eng)'!R24</f>
        <v>0</v>
      </c>
      <c r="S24" s="751">
        <f>+'[2]Maturity Profile (Eng)'!S24</f>
        <v>0</v>
      </c>
      <c r="T24" s="751">
        <f>+'[2]Maturity Profile (Eng)'!T24</f>
        <v>0</v>
      </c>
      <c r="U24" s="751">
        <f>+'[2]Maturity Profile (Eng)'!U24</f>
        <v>0</v>
      </c>
      <c r="V24" s="751">
        <f>+'[2]Maturity Profile (Eng)'!V24</f>
        <v>0</v>
      </c>
      <c r="W24" s="751">
        <f>+'[2]Maturity Profile (Eng)'!W24</f>
        <v>0</v>
      </c>
      <c r="X24" s="751">
        <f>+'[2]Maturity Profile (Eng)'!X24</f>
        <v>0</v>
      </c>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row>
    <row r="25" spans="2:73" s="35" customFormat="1">
      <c r="B25" s="287"/>
      <c r="C25" s="288" t="s">
        <v>105</v>
      </c>
      <c r="D25" s="289" t="s">
        <v>106</v>
      </c>
      <c r="E25" s="289"/>
      <c r="F25" s="289"/>
      <c r="G25" s="289"/>
      <c r="H25" s="229">
        <v>10500</v>
      </c>
      <c r="I25" s="230">
        <f t="shared" si="1"/>
        <v>721326</v>
      </c>
      <c r="J25" s="232">
        <f>+SUM(J26:J27)</f>
        <v>1583.29449</v>
      </c>
      <c r="K25" s="232">
        <f t="shared" ref="K25:X25" si="4">+SUM(K26:K27)</f>
        <v>2218.35</v>
      </c>
      <c r="L25" s="232">
        <f t="shared" si="4"/>
        <v>3816.9479000000001</v>
      </c>
      <c r="M25" s="232">
        <f t="shared" si="4"/>
        <v>16646.087950000001</v>
      </c>
      <c r="N25" s="232">
        <f t="shared" si="4"/>
        <v>30627.220819999999</v>
      </c>
      <c r="O25" s="232">
        <f t="shared" si="4"/>
        <v>49292.512640000001</v>
      </c>
      <c r="P25" s="232">
        <f t="shared" si="4"/>
        <v>108855.8695</v>
      </c>
      <c r="Q25" s="232">
        <f t="shared" si="4"/>
        <v>262743.61559</v>
      </c>
      <c r="R25" s="232">
        <f t="shared" si="4"/>
        <v>31094.038619999999</v>
      </c>
      <c r="S25" s="232">
        <f t="shared" si="4"/>
        <v>84965.931580000004</v>
      </c>
      <c r="T25" s="232">
        <f t="shared" si="4"/>
        <v>69482.666830000002</v>
      </c>
      <c r="U25" s="232">
        <f t="shared" si="4"/>
        <v>59999.281629999998</v>
      </c>
      <c r="V25" s="232">
        <f t="shared" si="4"/>
        <v>0</v>
      </c>
      <c r="W25" s="232">
        <f t="shared" si="4"/>
        <v>0</v>
      </c>
      <c r="X25" s="232">
        <f t="shared" si="4"/>
        <v>0</v>
      </c>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row>
    <row r="26" spans="2:73" s="35" customFormat="1">
      <c r="B26" s="1116"/>
      <c r="C26" s="1117"/>
      <c r="D26" s="1118" t="s">
        <v>84</v>
      </c>
      <c r="E26" s="758" t="s">
        <v>108</v>
      </c>
      <c r="F26" s="758"/>
      <c r="G26" s="758"/>
      <c r="H26" s="747">
        <v>10510</v>
      </c>
      <c r="I26" s="748">
        <f t="shared" si="1"/>
        <v>721326</v>
      </c>
      <c r="J26" s="1123">
        <f>+'[2]Maturity Profile (Eng)'!J26</f>
        <v>1583.29449</v>
      </c>
      <c r="K26" s="1123">
        <f>+'[2]Maturity Profile (Eng)'!K26</f>
        <v>2218.35</v>
      </c>
      <c r="L26" s="1123">
        <f>+'[2]Maturity Profile (Eng)'!L26</f>
        <v>3816.9479000000001</v>
      </c>
      <c r="M26" s="1123">
        <f>+'[2]Maturity Profile (Eng)'!M26</f>
        <v>16646.087950000001</v>
      </c>
      <c r="N26" s="1123">
        <f>+'[2]Maturity Profile (Eng)'!N26</f>
        <v>30627.220819999999</v>
      </c>
      <c r="O26" s="1123">
        <f>+'[2]Maturity Profile (Eng)'!O26</f>
        <v>49292.512640000001</v>
      </c>
      <c r="P26" s="1123">
        <f>+'[2]Maturity Profile (Eng)'!P26</f>
        <v>108855.8695</v>
      </c>
      <c r="Q26" s="1123">
        <f>+'[2]Maturity Profile (Eng)'!Q26</f>
        <v>262743.61559</v>
      </c>
      <c r="R26" s="1123">
        <f>+'[2]Maturity Profile (Eng)'!R26</f>
        <v>31094.038619999999</v>
      </c>
      <c r="S26" s="1123">
        <f>+'[2]Maturity Profile (Eng)'!S26</f>
        <v>84965.931580000004</v>
      </c>
      <c r="T26" s="1123">
        <f>+'[2]Maturity Profile (Eng)'!T26</f>
        <v>69482.666830000002</v>
      </c>
      <c r="U26" s="1123">
        <f>+'[2]Maturity Profile (Eng)'!U26</f>
        <v>59999.281629999998</v>
      </c>
      <c r="V26" s="1123">
        <f>+'[2]Maturity Profile (Eng)'!V26</f>
        <v>0</v>
      </c>
      <c r="W26" s="1123">
        <f>+'[2]Maturity Profile (Eng)'!W26</f>
        <v>0</v>
      </c>
      <c r="X26" s="1123">
        <f>+'[2]Maturity Profile (Eng)'!X26</f>
        <v>0</v>
      </c>
      <c r="Y26" s="25"/>
      <c r="Z26" s="25" t="s">
        <v>275</v>
      </c>
      <c r="AA26" s="25"/>
      <c r="AB26" s="25"/>
      <c r="AC26" s="25"/>
      <c r="AD26" s="25"/>
      <c r="AE26" s="25"/>
      <c r="AF26" s="30"/>
      <c r="AG26" s="25"/>
      <c r="AH26" s="30"/>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row>
    <row r="27" spans="2:73" s="35" customFormat="1" ht="15.75" thickBot="1">
      <c r="B27" s="752"/>
      <c r="C27" s="753"/>
      <c r="D27" s="754" t="s">
        <v>100</v>
      </c>
      <c r="E27" s="759" t="s">
        <v>112</v>
      </c>
      <c r="F27" s="759"/>
      <c r="G27" s="759"/>
      <c r="H27" s="755">
        <v>10520</v>
      </c>
      <c r="I27" s="756">
        <f t="shared" si="1"/>
        <v>0</v>
      </c>
      <c r="J27" s="1123">
        <f>+'[2]Maturity Profile (Eng)'!J27</f>
        <v>0</v>
      </c>
      <c r="K27" s="1123">
        <f>+'[2]Maturity Profile (Eng)'!K27</f>
        <v>0</v>
      </c>
      <c r="L27" s="1123">
        <f>+'[2]Maturity Profile (Eng)'!L27</f>
        <v>0</v>
      </c>
      <c r="M27" s="1123">
        <f>+'[2]Maturity Profile (Eng)'!M27</f>
        <v>0</v>
      </c>
      <c r="N27" s="1123">
        <f>+'[2]Maturity Profile (Eng)'!N27</f>
        <v>0</v>
      </c>
      <c r="O27" s="1123">
        <f>+'[2]Maturity Profile (Eng)'!O27</f>
        <v>0</v>
      </c>
      <c r="P27" s="1123">
        <f>+'[2]Maturity Profile (Eng)'!P27</f>
        <v>0</v>
      </c>
      <c r="Q27" s="1123">
        <f>+'[2]Maturity Profile (Eng)'!Q27</f>
        <v>0</v>
      </c>
      <c r="R27" s="1123">
        <f>+'[2]Maturity Profile (Eng)'!R27</f>
        <v>0</v>
      </c>
      <c r="S27" s="1123">
        <f>+'[2]Maturity Profile (Eng)'!S27</f>
        <v>0</v>
      </c>
      <c r="T27" s="1123">
        <f>+'[2]Maturity Profile (Eng)'!T27</f>
        <v>0</v>
      </c>
      <c r="U27" s="1123">
        <f>+'[2]Maturity Profile (Eng)'!U27</f>
        <v>0</v>
      </c>
      <c r="V27" s="1123">
        <f>+'[2]Maturity Profile (Eng)'!V27</f>
        <v>0</v>
      </c>
      <c r="W27" s="1123">
        <f>+'[2]Maturity Profile (Eng)'!W27</f>
        <v>0</v>
      </c>
      <c r="X27" s="1123">
        <f>+'[2]Maturity Profile (Eng)'!X27</f>
        <v>0</v>
      </c>
      <c r="Y27" s="25"/>
      <c r="Z27" s="25" t="s">
        <v>275</v>
      </c>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row>
    <row r="28" spans="2:73" s="35" customFormat="1">
      <c r="B28" s="287"/>
      <c r="C28" s="288" t="s">
        <v>116</v>
      </c>
      <c r="D28" s="289" t="s">
        <v>117</v>
      </c>
      <c r="E28" s="308"/>
      <c r="F28" s="308"/>
      <c r="G28" s="308"/>
      <c r="H28" s="229">
        <v>10700</v>
      </c>
      <c r="I28" s="230">
        <f t="shared" si="1"/>
        <v>0</v>
      </c>
      <c r="J28" s="237">
        <f>+SUM(J29:J30)</f>
        <v>0</v>
      </c>
      <c r="K28" s="237">
        <f t="shared" ref="K28:X28" si="5">+SUM(K29:K30)</f>
        <v>0</v>
      </c>
      <c r="L28" s="237">
        <f t="shared" si="5"/>
        <v>0</v>
      </c>
      <c r="M28" s="237">
        <f t="shared" si="5"/>
        <v>0</v>
      </c>
      <c r="N28" s="237">
        <f t="shared" si="5"/>
        <v>0</v>
      </c>
      <c r="O28" s="237">
        <f t="shared" si="5"/>
        <v>0</v>
      </c>
      <c r="P28" s="237">
        <f t="shared" si="5"/>
        <v>0</v>
      </c>
      <c r="Q28" s="237">
        <f t="shared" si="5"/>
        <v>0</v>
      </c>
      <c r="R28" s="237">
        <f t="shared" si="5"/>
        <v>0</v>
      </c>
      <c r="S28" s="237">
        <f t="shared" si="5"/>
        <v>0</v>
      </c>
      <c r="T28" s="237">
        <f t="shared" si="5"/>
        <v>0</v>
      </c>
      <c r="U28" s="237">
        <f t="shared" si="5"/>
        <v>0</v>
      </c>
      <c r="V28" s="237">
        <f t="shared" si="5"/>
        <v>0</v>
      </c>
      <c r="W28" s="237">
        <f t="shared" si="5"/>
        <v>0</v>
      </c>
      <c r="X28" s="237">
        <f t="shared" si="5"/>
        <v>0</v>
      </c>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row>
    <row r="29" spans="2:73" s="35" customFormat="1" ht="15" customHeight="1">
      <c r="B29" s="1120"/>
      <c r="C29" s="1121"/>
      <c r="D29" s="1124" t="s">
        <v>84</v>
      </c>
      <c r="E29" s="1235" t="s">
        <v>119</v>
      </c>
      <c r="F29" s="1235"/>
      <c r="G29" s="1235"/>
      <c r="H29" s="747">
        <v>10710</v>
      </c>
      <c r="I29" s="748">
        <f t="shared" si="1"/>
        <v>0</v>
      </c>
      <c r="J29" s="1123">
        <f>+'[2]Maturity Profile (Eng)'!J29</f>
        <v>0</v>
      </c>
      <c r="K29" s="1123">
        <f>+'[2]Maturity Profile (Eng)'!K29</f>
        <v>0</v>
      </c>
      <c r="L29" s="1123">
        <f>+'[2]Maturity Profile (Eng)'!L29</f>
        <v>0</v>
      </c>
      <c r="M29" s="1123">
        <f>+'[2]Maturity Profile (Eng)'!M29</f>
        <v>0</v>
      </c>
      <c r="N29" s="1123">
        <f>+'[2]Maturity Profile (Eng)'!N29</f>
        <v>0</v>
      </c>
      <c r="O29" s="1123">
        <f>+'[2]Maturity Profile (Eng)'!O29</f>
        <v>0</v>
      </c>
      <c r="P29" s="1123">
        <f>+'[2]Maturity Profile (Eng)'!P29</f>
        <v>0</v>
      </c>
      <c r="Q29" s="1123">
        <f>+'[2]Maturity Profile (Eng)'!Q29</f>
        <v>0</v>
      </c>
      <c r="R29" s="1123">
        <f>+'[2]Maturity Profile (Eng)'!R29</f>
        <v>0</v>
      </c>
      <c r="S29" s="1123">
        <f>+'[2]Maturity Profile (Eng)'!S29</f>
        <v>0</v>
      </c>
      <c r="T29" s="1123">
        <f>+'[2]Maturity Profile (Eng)'!T29</f>
        <v>0</v>
      </c>
      <c r="U29" s="1123">
        <f>+'[2]Maturity Profile (Eng)'!U29</f>
        <v>0</v>
      </c>
      <c r="V29" s="1123">
        <f>+'[2]Maturity Profile (Eng)'!V29</f>
        <v>0</v>
      </c>
      <c r="W29" s="1123">
        <f>+'[2]Maturity Profile (Eng)'!W29</f>
        <v>0</v>
      </c>
      <c r="X29" s="1123">
        <f>+'[2]Maturity Profile (Eng)'!X29</f>
        <v>0</v>
      </c>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row>
    <row r="30" spans="2:73" s="35" customFormat="1" ht="15.75" thickBot="1">
      <c r="B30" s="752"/>
      <c r="C30" s="753"/>
      <c r="D30" s="754" t="s">
        <v>100</v>
      </c>
      <c r="E30" s="759" t="s">
        <v>101</v>
      </c>
      <c r="F30" s="759"/>
      <c r="G30" s="759"/>
      <c r="H30" s="755">
        <v>10790</v>
      </c>
      <c r="I30" s="756">
        <f t="shared" si="1"/>
        <v>0</v>
      </c>
      <c r="J30" s="1123">
        <f>+'[2]Maturity Profile (Eng)'!J30</f>
        <v>0</v>
      </c>
      <c r="K30" s="1123">
        <f>+'[2]Maturity Profile (Eng)'!K30</f>
        <v>0</v>
      </c>
      <c r="L30" s="1123">
        <f>+'[2]Maturity Profile (Eng)'!L30</f>
        <v>0</v>
      </c>
      <c r="M30" s="1123">
        <f>+'[2]Maturity Profile (Eng)'!M30</f>
        <v>0</v>
      </c>
      <c r="N30" s="1123">
        <f>+'[2]Maturity Profile (Eng)'!N30</f>
        <v>0</v>
      </c>
      <c r="O30" s="1123">
        <f>+'[2]Maturity Profile (Eng)'!O30</f>
        <v>0</v>
      </c>
      <c r="P30" s="1123">
        <f>+'[2]Maturity Profile (Eng)'!P30</f>
        <v>0</v>
      </c>
      <c r="Q30" s="1123">
        <f>+'[2]Maturity Profile (Eng)'!Q30</f>
        <v>0</v>
      </c>
      <c r="R30" s="1123">
        <f>+'[2]Maturity Profile (Eng)'!R30</f>
        <v>0</v>
      </c>
      <c r="S30" s="1123">
        <f>+'[2]Maturity Profile (Eng)'!S30</f>
        <v>0</v>
      </c>
      <c r="T30" s="1123">
        <f>+'[2]Maturity Profile (Eng)'!T30</f>
        <v>0</v>
      </c>
      <c r="U30" s="1123">
        <f>+'[2]Maturity Profile (Eng)'!U30</f>
        <v>0</v>
      </c>
      <c r="V30" s="1123">
        <f>+'[2]Maturity Profile (Eng)'!V30</f>
        <v>0</v>
      </c>
      <c r="W30" s="1123">
        <f>+'[2]Maturity Profile (Eng)'!W30</f>
        <v>0</v>
      </c>
      <c r="X30" s="1123">
        <f>+'[2]Maturity Profile (Eng)'!X30</f>
        <v>0</v>
      </c>
      <c r="Y30" s="25" t="s">
        <v>267</v>
      </c>
      <c r="Z30" s="25" t="s">
        <v>276</v>
      </c>
      <c r="AA30" s="25"/>
      <c r="AB30" s="25"/>
      <c r="AC30" s="25"/>
      <c r="AD30" s="25" t="e">
        <f>'[3]Export Bills Discounted'!#REF!/1000</f>
        <v>#REF!</v>
      </c>
      <c r="AE30" s="30">
        <f>I30</f>
        <v>0</v>
      </c>
      <c r="AF30" s="30" t="e">
        <f>AD30-AE30</f>
        <v>#REF!</v>
      </c>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row>
    <row r="31" spans="2:73" s="35" customFormat="1" ht="15.75" thickBot="1">
      <c r="B31" s="310"/>
      <c r="C31" s="311" t="s">
        <v>124</v>
      </c>
      <c r="D31" s="312" t="s">
        <v>249</v>
      </c>
      <c r="E31" s="312"/>
      <c r="F31" s="312"/>
      <c r="G31" s="312"/>
      <c r="H31" s="231">
        <v>10600</v>
      </c>
      <c r="I31" s="238">
        <f t="shared" si="1"/>
        <v>0</v>
      </c>
      <c r="J31" s="271">
        <f>+'[2]Maturity Profile (Eng)'!I31</f>
        <v>0</v>
      </c>
      <c r="K31" s="271">
        <f>+'[2]Maturity Profile (Eng)'!J31</f>
        <v>0</v>
      </c>
      <c r="L31" s="271">
        <f>+'[2]Maturity Profile (Eng)'!K31</f>
        <v>0</v>
      </c>
      <c r="M31" s="271">
        <f>+'[2]Maturity Profile (Eng)'!L31</f>
        <v>0</v>
      </c>
      <c r="N31" s="271">
        <f>+'[2]Maturity Profile (Eng)'!M31</f>
        <v>0</v>
      </c>
      <c r="O31" s="271">
        <f>+'[2]Maturity Profile (Eng)'!N31</f>
        <v>0</v>
      </c>
      <c r="P31" s="271">
        <f>+'[2]Maturity Profile (Eng)'!O31</f>
        <v>0</v>
      </c>
      <c r="Q31" s="271">
        <f>+'[2]Maturity Profile (Eng)'!P31</f>
        <v>0</v>
      </c>
      <c r="R31" s="271">
        <f>+'[2]Maturity Profile (Eng)'!Q31</f>
        <v>0</v>
      </c>
      <c r="S31" s="271">
        <f>+'[2]Maturity Profile (Eng)'!R31</f>
        <v>0</v>
      </c>
      <c r="T31" s="271">
        <f>+'[2]Maturity Profile (Eng)'!S31</f>
        <v>0</v>
      </c>
      <c r="U31" s="271">
        <f>+'[2]Maturity Profile (Eng)'!T31</f>
        <v>0</v>
      </c>
      <c r="V31" s="271">
        <f>+'[2]Maturity Profile (Eng)'!U31</f>
        <v>0</v>
      </c>
      <c r="W31" s="271">
        <f>+'[2]Maturity Profile (Eng)'!V31</f>
        <v>0</v>
      </c>
      <c r="X31" s="271">
        <f>+'[2]Maturity Profile (Eng)'!W31</f>
        <v>0</v>
      </c>
      <c r="Y31" s="25" t="s">
        <v>267</v>
      </c>
      <c r="Z31" s="25" t="s">
        <v>277</v>
      </c>
      <c r="AA31" s="25"/>
      <c r="AB31" s="25"/>
      <c r="AC31" s="25"/>
      <c r="AD31" s="25">
        <f>'[3]TRADE ADVANCE'!D8/1000</f>
        <v>0</v>
      </c>
      <c r="AE31" s="30">
        <f>I31</f>
        <v>0</v>
      </c>
      <c r="AF31" s="30">
        <f>AD31-AE31</f>
        <v>0</v>
      </c>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row>
    <row r="32" spans="2:73" s="35" customFormat="1">
      <c r="B32" s="314"/>
      <c r="C32" s="315"/>
      <c r="D32" s="315"/>
      <c r="E32" s="315"/>
      <c r="F32" s="315"/>
      <c r="G32" s="315"/>
      <c r="H32" s="316"/>
      <c r="I32" s="317"/>
      <c r="J32" s="318"/>
      <c r="K32" s="318"/>
      <c r="L32" s="318"/>
      <c r="M32" s="318"/>
      <c r="N32" s="318"/>
      <c r="O32" s="318"/>
      <c r="P32" s="319"/>
      <c r="Q32" s="319"/>
      <c r="R32" s="319"/>
      <c r="S32" s="319"/>
      <c r="T32" s="319"/>
      <c r="U32" s="319"/>
      <c r="V32" s="319"/>
      <c r="W32" s="319"/>
      <c r="X32" s="320"/>
      <c r="Y32" s="25"/>
      <c r="Z32" s="25"/>
      <c r="AA32" s="25"/>
      <c r="AB32" s="25"/>
      <c r="AC32" s="25"/>
      <c r="AD32" s="25"/>
      <c r="AE32" s="25"/>
      <c r="AF32" s="25" t="s">
        <v>278</v>
      </c>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row>
    <row r="33" spans="2:73" s="35" customFormat="1">
      <c r="B33" s="302"/>
      <c r="C33" s="304"/>
      <c r="D33" s="304"/>
      <c r="E33" s="304"/>
      <c r="F33" s="304"/>
      <c r="G33" s="304"/>
      <c r="H33" s="321"/>
      <c r="I33" s="322"/>
      <c r="J33" s="304"/>
      <c r="K33" s="304"/>
      <c r="L33" s="304"/>
      <c r="M33" s="304"/>
      <c r="N33" s="304"/>
      <c r="O33" s="304"/>
      <c r="P33" s="304"/>
      <c r="Q33" s="304"/>
      <c r="R33" s="304"/>
      <c r="S33" s="304"/>
      <c r="T33" s="304"/>
      <c r="U33" s="304"/>
      <c r="V33" s="304"/>
      <c r="W33" s="304"/>
      <c r="X33" s="323"/>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row>
    <row r="34" spans="2:73" s="35" customFormat="1">
      <c r="B34" s="1125" t="s">
        <v>128</v>
      </c>
      <c r="C34" s="1126" t="s">
        <v>4</v>
      </c>
      <c r="D34" s="1127"/>
      <c r="E34" s="1127"/>
      <c r="F34" s="1127"/>
      <c r="G34" s="1127"/>
      <c r="H34" s="760">
        <v>20000</v>
      </c>
      <c r="I34" s="761">
        <f t="shared" ref="I34:I54" si="6">ROUND(SUM(J34:X34),0)</f>
        <v>1448139</v>
      </c>
      <c r="J34" s="1128">
        <f>ROUND(+J35+J42+J43+J44+J48+J51+J54,0)</f>
        <v>1230854</v>
      </c>
      <c r="K34" s="1128">
        <f t="shared" ref="K34:X34" si="7">ROUND(+K35+K42+K43+K44+K48+K51+K54,0)</f>
        <v>2900</v>
      </c>
      <c r="L34" s="1128">
        <f t="shared" si="7"/>
        <v>47000</v>
      </c>
      <c r="M34" s="1128">
        <f t="shared" si="7"/>
        <v>43585</v>
      </c>
      <c r="N34" s="1128">
        <f t="shared" si="7"/>
        <v>0</v>
      </c>
      <c r="O34" s="1128">
        <f t="shared" si="7"/>
        <v>8800</v>
      </c>
      <c r="P34" s="1128">
        <f t="shared" si="7"/>
        <v>0</v>
      </c>
      <c r="Q34" s="1128">
        <f t="shared" si="7"/>
        <v>0</v>
      </c>
      <c r="R34" s="1128">
        <f t="shared" si="7"/>
        <v>0</v>
      </c>
      <c r="S34" s="1128">
        <f t="shared" si="7"/>
        <v>115000</v>
      </c>
      <c r="T34" s="1128">
        <f t="shared" si="7"/>
        <v>0</v>
      </c>
      <c r="U34" s="1128">
        <f t="shared" si="7"/>
        <v>0</v>
      </c>
      <c r="V34" s="1128">
        <f t="shared" si="7"/>
        <v>0</v>
      </c>
      <c r="W34" s="1128">
        <f t="shared" si="7"/>
        <v>0</v>
      </c>
      <c r="X34" s="1128">
        <f t="shared" si="7"/>
        <v>0</v>
      </c>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row>
    <row r="35" spans="2:73" s="35" customFormat="1">
      <c r="B35" s="1129"/>
      <c r="C35" s="1130" t="s">
        <v>66</v>
      </c>
      <c r="D35" s="1131" t="s">
        <v>129</v>
      </c>
      <c r="E35" s="1131"/>
      <c r="F35" s="1131"/>
      <c r="G35" s="1131"/>
      <c r="H35" s="760">
        <v>20100</v>
      </c>
      <c r="I35" s="761">
        <f t="shared" si="6"/>
        <v>93239</v>
      </c>
      <c r="J35" s="1132">
        <f t="shared" ref="J35:X35" si="8">+J36+J37+J38</f>
        <v>92853.899200000014</v>
      </c>
      <c r="K35" s="1132">
        <f t="shared" si="8"/>
        <v>0</v>
      </c>
      <c r="L35" s="1132">
        <f t="shared" si="8"/>
        <v>0</v>
      </c>
      <c r="M35" s="1132">
        <f t="shared" si="8"/>
        <v>385</v>
      </c>
      <c r="N35" s="1132">
        <f t="shared" si="8"/>
        <v>0</v>
      </c>
      <c r="O35" s="1132">
        <f t="shared" si="8"/>
        <v>0</v>
      </c>
      <c r="P35" s="1133">
        <f t="shared" si="8"/>
        <v>0</v>
      </c>
      <c r="Q35" s="1133">
        <f t="shared" si="8"/>
        <v>0</v>
      </c>
      <c r="R35" s="1133">
        <f t="shared" si="8"/>
        <v>0</v>
      </c>
      <c r="S35" s="1133">
        <f t="shared" si="8"/>
        <v>0</v>
      </c>
      <c r="T35" s="1133">
        <f t="shared" si="8"/>
        <v>0</v>
      </c>
      <c r="U35" s="1133">
        <f t="shared" si="8"/>
        <v>0</v>
      </c>
      <c r="V35" s="1133">
        <f t="shared" si="8"/>
        <v>0</v>
      </c>
      <c r="W35" s="1133">
        <f t="shared" si="8"/>
        <v>0</v>
      </c>
      <c r="X35" s="1133">
        <f t="shared" si="8"/>
        <v>0</v>
      </c>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row>
    <row r="36" spans="2:73" s="35" customFormat="1">
      <c r="B36" s="1116"/>
      <c r="C36" s="1117"/>
      <c r="D36" s="1118" t="s">
        <v>84</v>
      </c>
      <c r="E36" s="1118" t="s">
        <v>131</v>
      </c>
      <c r="F36" s="1118"/>
      <c r="G36" s="1118"/>
      <c r="H36" s="747">
        <v>20110</v>
      </c>
      <c r="I36" s="748">
        <f t="shared" si="6"/>
        <v>92854</v>
      </c>
      <c r="J36" s="1123">
        <f>+'[2]Maturity Profile (Eng)'!J36</f>
        <v>92853.899200000014</v>
      </c>
      <c r="K36" s="1123">
        <f>+'[2]Maturity Profile (Eng)'!K36</f>
        <v>0</v>
      </c>
      <c r="L36" s="1123">
        <f>+'[2]Maturity Profile (Eng)'!L36</f>
        <v>0</v>
      </c>
      <c r="M36" s="1123">
        <f>+'[2]Maturity Profile (Eng)'!M36</f>
        <v>0</v>
      </c>
      <c r="N36" s="1123">
        <f>+'[2]Maturity Profile (Eng)'!N36</f>
        <v>0</v>
      </c>
      <c r="O36" s="1123">
        <f>+'[2]Maturity Profile (Eng)'!O36</f>
        <v>0</v>
      </c>
      <c r="P36" s="1123">
        <f>+'[2]Maturity Profile (Eng)'!P36</f>
        <v>0</v>
      </c>
      <c r="Q36" s="1123">
        <f>+'[2]Maturity Profile (Eng)'!Q36</f>
        <v>0</v>
      </c>
      <c r="R36" s="1123">
        <f>+'[2]Maturity Profile (Eng)'!R36</f>
        <v>0</v>
      </c>
      <c r="S36" s="1123">
        <f>+'[2]Maturity Profile (Eng)'!S36</f>
        <v>0</v>
      </c>
      <c r="T36" s="1123">
        <f>+'[2]Maturity Profile (Eng)'!T36</f>
        <v>0</v>
      </c>
      <c r="U36" s="1123">
        <f>+'[2]Maturity Profile (Eng)'!U36</f>
        <v>0</v>
      </c>
      <c r="V36" s="1123">
        <f>+'[2]Maturity Profile (Eng)'!V36</f>
        <v>0</v>
      </c>
      <c r="W36" s="1123">
        <f>+'[2]Maturity Profile (Eng)'!W36</f>
        <v>0</v>
      </c>
      <c r="X36" s="1123">
        <f>+'[2]Maturity Profile (Eng)'!X36</f>
        <v>0</v>
      </c>
      <c r="Y36" s="25" t="s">
        <v>267</v>
      </c>
      <c r="Z36" s="25" t="s">
        <v>279</v>
      </c>
      <c r="AA36" s="25"/>
      <c r="AB36" s="25"/>
      <c r="AC36" s="25"/>
      <c r="AD36" s="25"/>
      <c r="AE36" s="25"/>
      <c r="AF36" s="30"/>
      <c r="AG36" s="25">
        <f>+(70600321.76+87577.38+12766595.2+201497.59)/1000</f>
        <v>83655.991930000004</v>
      </c>
      <c r="AH36" s="30"/>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row>
    <row r="37" spans="2:73" s="35" customFormat="1">
      <c r="B37" s="1116"/>
      <c r="C37" s="1117"/>
      <c r="D37" s="1118" t="s">
        <v>100</v>
      </c>
      <c r="E37" s="1118" t="s">
        <v>134</v>
      </c>
      <c r="F37" s="1118"/>
      <c r="G37" s="1118"/>
      <c r="H37" s="747">
        <v>20120</v>
      </c>
      <c r="I37" s="748">
        <f t="shared" si="6"/>
        <v>0</v>
      </c>
      <c r="J37" s="1123">
        <f>+'[2]Maturity Profile (Eng)'!J37</f>
        <v>0</v>
      </c>
      <c r="K37" s="1123">
        <f>+'[2]Maturity Profile (Eng)'!K37</f>
        <v>0</v>
      </c>
      <c r="L37" s="1123">
        <f>+'[2]Maturity Profile (Eng)'!L37</f>
        <v>0</v>
      </c>
      <c r="M37" s="1123">
        <f>+'[2]Maturity Profile (Eng)'!M37</f>
        <v>0</v>
      </c>
      <c r="N37" s="1123">
        <f>+'[2]Maturity Profile (Eng)'!N37</f>
        <v>0</v>
      </c>
      <c r="O37" s="1123">
        <f>+'[2]Maturity Profile (Eng)'!O37</f>
        <v>0</v>
      </c>
      <c r="P37" s="1123">
        <f>+'[2]Maturity Profile (Eng)'!P37</f>
        <v>0</v>
      </c>
      <c r="Q37" s="1123">
        <f>+'[2]Maturity Profile (Eng)'!Q37</f>
        <v>0</v>
      </c>
      <c r="R37" s="1123">
        <f>+'[2]Maturity Profile (Eng)'!R37</f>
        <v>0</v>
      </c>
      <c r="S37" s="1123">
        <f>+'[2]Maturity Profile (Eng)'!S37</f>
        <v>0</v>
      </c>
      <c r="T37" s="1123">
        <f>+'[2]Maturity Profile (Eng)'!T37</f>
        <v>0</v>
      </c>
      <c r="U37" s="1123">
        <f>+'[2]Maturity Profile (Eng)'!U37</f>
        <v>0</v>
      </c>
      <c r="V37" s="1123">
        <f>+'[2]Maturity Profile (Eng)'!V37</f>
        <v>0</v>
      </c>
      <c r="W37" s="1123">
        <f>+'[2]Maturity Profile (Eng)'!W37</f>
        <v>0</v>
      </c>
      <c r="X37" s="1123">
        <f>+'[2]Maturity Profile (Eng)'!X37</f>
        <v>0</v>
      </c>
      <c r="Y37" s="25"/>
      <c r="Z37" s="25"/>
      <c r="AA37" s="25"/>
      <c r="AB37" s="25"/>
      <c r="AC37" s="25"/>
      <c r="AD37" s="25"/>
      <c r="AE37" s="25"/>
      <c r="AF37" s="25"/>
      <c r="AG37" s="25"/>
      <c r="AH37" s="25"/>
      <c r="AI37" s="25"/>
      <c r="AJ37" s="25"/>
      <c r="AK37" s="25"/>
      <c r="AL37" s="25"/>
      <c r="AM37" s="25"/>
      <c r="AN37" s="25"/>
      <c r="AO37" s="25"/>
      <c r="AP37" s="25"/>
      <c r="AQ37" s="25"/>
      <c r="AR37" s="27"/>
      <c r="AS37" s="27"/>
      <c r="AT37" s="27"/>
      <c r="AU37" s="27"/>
      <c r="AV37" s="27"/>
      <c r="AW37" s="27"/>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row>
    <row r="38" spans="2:73" s="35" customFormat="1">
      <c r="B38" s="1116"/>
      <c r="C38" s="1117"/>
      <c r="D38" s="1118" t="s">
        <v>137</v>
      </c>
      <c r="E38" s="1118" t="s">
        <v>138</v>
      </c>
      <c r="F38" s="1118"/>
      <c r="G38" s="1118"/>
      <c r="H38" s="747">
        <v>20130</v>
      </c>
      <c r="I38" s="748">
        <f t="shared" si="6"/>
        <v>385</v>
      </c>
      <c r="J38" s="1119">
        <f>+SUM(J39:J41)</f>
        <v>0</v>
      </c>
      <c r="K38" s="1119">
        <f t="shared" ref="K38:X38" si="9">+SUM(K39:K41)</f>
        <v>0</v>
      </c>
      <c r="L38" s="1119">
        <f t="shared" si="9"/>
        <v>0</v>
      </c>
      <c r="M38" s="1119">
        <f t="shared" si="9"/>
        <v>385</v>
      </c>
      <c r="N38" s="1119">
        <f t="shared" si="9"/>
        <v>0</v>
      </c>
      <c r="O38" s="1119">
        <f t="shared" si="9"/>
        <v>0</v>
      </c>
      <c r="P38" s="1119">
        <f t="shared" si="9"/>
        <v>0</v>
      </c>
      <c r="Q38" s="1119">
        <f t="shared" si="9"/>
        <v>0</v>
      </c>
      <c r="R38" s="1119">
        <f t="shared" si="9"/>
        <v>0</v>
      </c>
      <c r="S38" s="1119">
        <f t="shared" si="9"/>
        <v>0</v>
      </c>
      <c r="T38" s="1119">
        <f t="shared" si="9"/>
        <v>0</v>
      </c>
      <c r="U38" s="1119">
        <f t="shared" si="9"/>
        <v>0</v>
      </c>
      <c r="V38" s="1119">
        <f t="shared" si="9"/>
        <v>0</v>
      </c>
      <c r="W38" s="1119">
        <f t="shared" si="9"/>
        <v>0</v>
      </c>
      <c r="X38" s="1119">
        <f t="shared" si="9"/>
        <v>0</v>
      </c>
      <c r="Y38" s="25"/>
      <c r="Z38" s="25"/>
      <c r="AA38" s="25"/>
      <c r="AB38" s="25"/>
      <c r="AC38" s="25"/>
      <c r="AD38" s="25"/>
      <c r="AE38" s="25"/>
      <c r="AF38" s="25"/>
      <c r="AG38" s="25"/>
      <c r="AH38" s="25"/>
      <c r="AI38" s="25"/>
      <c r="AJ38" s="25"/>
      <c r="AK38" s="25"/>
      <c r="AL38" s="25"/>
      <c r="AM38" s="25"/>
      <c r="AN38" s="25"/>
      <c r="AO38" s="25"/>
      <c r="AP38" s="25"/>
      <c r="AQ38" s="25"/>
      <c r="AR38" s="27"/>
      <c r="AS38" s="27"/>
      <c r="AT38" s="27"/>
      <c r="AU38" s="27"/>
      <c r="AV38" s="27"/>
      <c r="AW38" s="27"/>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row>
    <row r="39" spans="2:73" s="35" customFormat="1">
      <c r="B39" s="1116"/>
      <c r="C39" s="1117"/>
      <c r="D39" s="1118"/>
      <c r="E39" s="1118" t="s">
        <v>87</v>
      </c>
      <c r="F39" s="1118" t="s">
        <v>250</v>
      </c>
      <c r="G39" s="1118"/>
      <c r="H39" s="747">
        <v>20131</v>
      </c>
      <c r="I39" s="748">
        <f t="shared" si="6"/>
        <v>0</v>
      </c>
      <c r="J39" s="1123">
        <f>+'[2]Maturity Profile (Eng)'!J39</f>
        <v>0</v>
      </c>
      <c r="K39" s="1123">
        <f>+'[2]Maturity Profile (Eng)'!K39</f>
        <v>0</v>
      </c>
      <c r="L39" s="1123">
        <f>+'[2]Maturity Profile (Eng)'!L39</f>
        <v>0</v>
      </c>
      <c r="M39" s="1123">
        <f>+'[2]Maturity Profile (Eng)'!M39</f>
        <v>0</v>
      </c>
      <c r="N39" s="1123">
        <f>+'[2]Maturity Profile (Eng)'!N39</f>
        <v>0</v>
      </c>
      <c r="O39" s="1123">
        <f>+'[2]Maturity Profile (Eng)'!O39</f>
        <v>0</v>
      </c>
      <c r="P39" s="1123">
        <f>+'[2]Maturity Profile (Eng)'!P39</f>
        <v>0</v>
      </c>
      <c r="Q39" s="1123">
        <f>+'[2]Maturity Profile (Eng)'!Q39</f>
        <v>0</v>
      </c>
      <c r="R39" s="1123">
        <f>+'[2]Maturity Profile (Eng)'!R39</f>
        <v>0</v>
      </c>
      <c r="S39" s="1123">
        <f>+'[2]Maturity Profile (Eng)'!S39</f>
        <v>0</v>
      </c>
      <c r="T39" s="1123">
        <f>+'[2]Maturity Profile (Eng)'!T39</f>
        <v>0</v>
      </c>
      <c r="U39" s="1123">
        <f>+'[2]Maturity Profile (Eng)'!U39</f>
        <v>0</v>
      </c>
      <c r="V39" s="1123">
        <f>+'[2]Maturity Profile (Eng)'!V39</f>
        <v>0</v>
      </c>
      <c r="W39" s="1123">
        <f>+'[2]Maturity Profile (Eng)'!W39</f>
        <v>0</v>
      </c>
      <c r="X39" s="1123">
        <f>+'[2]Maturity Profile (Eng)'!X39</f>
        <v>0</v>
      </c>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row>
    <row r="40" spans="2:73" s="35" customFormat="1">
      <c r="B40" s="1116"/>
      <c r="C40" s="1117"/>
      <c r="D40" s="1118"/>
      <c r="E40" s="1118" t="s">
        <v>90</v>
      </c>
      <c r="F40" s="1118" t="s">
        <v>142</v>
      </c>
      <c r="G40" s="1118"/>
      <c r="H40" s="747">
        <v>20132</v>
      </c>
      <c r="I40" s="748">
        <f t="shared" si="6"/>
        <v>385</v>
      </c>
      <c r="J40" s="1123">
        <f>+'[2]Maturity Profile (Eng)'!J40</f>
        <v>0</v>
      </c>
      <c r="K40" s="1123">
        <f>+'[2]Maturity Profile (Eng)'!K40</f>
        <v>0</v>
      </c>
      <c r="L40" s="1123">
        <f>+'[2]Maturity Profile (Eng)'!L40</f>
        <v>0</v>
      </c>
      <c r="M40" s="1123">
        <f>+'[2]Maturity Profile (Eng)'!M40</f>
        <v>385</v>
      </c>
      <c r="N40" s="1123">
        <f>+'[2]Maturity Profile (Eng)'!N40</f>
        <v>0</v>
      </c>
      <c r="O40" s="1123">
        <f>+'[2]Maturity Profile (Eng)'!O40</f>
        <v>0</v>
      </c>
      <c r="P40" s="1123">
        <f>+'[2]Maturity Profile (Eng)'!P40</f>
        <v>0</v>
      </c>
      <c r="Q40" s="1123">
        <f>+'[2]Maturity Profile (Eng)'!Q40</f>
        <v>0</v>
      </c>
      <c r="R40" s="1123">
        <f>+'[2]Maturity Profile (Eng)'!R40</f>
        <v>0</v>
      </c>
      <c r="S40" s="1123">
        <f>+'[2]Maturity Profile (Eng)'!S40</f>
        <v>0</v>
      </c>
      <c r="T40" s="1123">
        <f>+'[2]Maturity Profile (Eng)'!T40</f>
        <v>0</v>
      </c>
      <c r="U40" s="1123">
        <f>+'[2]Maturity Profile (Eng)'!U40</f>
        <v>0</v>
      </c>
      <c r="V40" s="1123">
        <f>+'[2]Maturity Profile (Eng)'!V40</f>
        <v>0</v>
      </c>
      <c r="W40" s="1123">
        <f>+'[2]Maturity Profile (Eng)'!W40</f>
        <v>0</v>
      </c>
      <c r="X40" s="1123">
        <f>+'[2]Maturity Profile (Eng)'!X40</f>
        <v>0</v>
      </c>
      <c r="Y40" s="25" t="s">
        <v>267</v>
      </c>
      <c r="Z40" s="25" t="s">
        <v>280</v>
      </c>
      <c r="AA40" s="25"/>
      <c r="AB40" s="25"/>
      <c r="AC40" s="25"/>
      <c r="AD40" s="25">
        <f>'[3]Maturity Profile (Eng)'!AD40</f>
        <v>75485</v>
      </c>
      <c r="AE40" s="30">
        <f>I40</f>
        <v>385</v>
      </c>
      <c r="AF40" s="30">
        <f>AD40-AE40</f>
        <v>75100</v>
      </c>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row>
    <row r="41" spans="2:73" s="35" customFormat="1">
      <c r="B41" s="1116"/>
      <c r="C41" s="1117"/>
      <c r="D41" s="1118"/>
      <c r="E41" s="1118" t="s">
        <v>93</v>
      </c>
      <c r="F41" s="1118" t="s">
        <v>101</v>
      </c>
      <c r="G41" s="1118"/>
      <c r="H41" s="747">
        <v>20139</v>
      </c>
      <c r="I41" s="748">
        <f t="shared" si="6"/>
        <v>0</v>
      </c>
      <c r="J41" s="1123">
        <f>+'[2]Maturity Profile (Eng)'!J41</f>
        <v>0</v>
      </c>
      <c r="K41" s="1123">
        <f>+'[2]Maturity Profile (Eng)'!K41</f>
        <v>0</v>
      </c>
      <c r="L41" s="1123">
        <f>+'[2]Maturity Profile (Eng)'!L41</f>
        <v>0</v>
      </c>
      <c r="M41" s="1123">
        <f>+'[2]Maturity Profile (Eng)'!M41</f>
        <v>0</v>
      </c>
      <c r="N41" s="1123">
        <f>+'[2]Maturity Profile (Eng)'!N41</f>
        <v>0</v>
      </c>
      <c r="O41" s="1123">
        <f>+'[2]Maturity Profile (Eng)'!O41</f>
        <v>0</v>
      </c>
      <c r="P41" s="1123">
        <f>+'[2]Maturity Profile (Eng)'!P41</f>
        <v>0</v>
      </c>
      <c r="Q41" s="1123">
        <f>+'[2]Maturity Profile (Eng)'!Q41</f>
        <v>0</v>
      </c>
      <c r="R41" s="1123">
        <f>+'[2]Maturity Profile (Eng)'!R41</f>
        <v>0</v>
      </c>
      <c r="S41" s="1123">
        <f>+'[2]Maturity Profile (Eng)'!S41</f>
        <v>0</v>
      </c>
      <c r="T41" s="1123">
        <f>+'[2]Maturity Profile (Eng)'!T41</f>
        <v>0</v>
      </c>
      <c r="U41" s="1123">
        <f>+'[2]Maturity Profile (Eng)'!U41</f>
        <v>0</v>
      </c>
      <c r="V41" s="1123">
        <f>+'[2]Maturity Profile (Eng)'!V41</f>
        <v>0</v>
      </c>
      <c r="W41" s="1123">
        <f>+'[2]Maturity Profile (Eng)'!W41</f>
        <v>0</v>
      </c>
      <c r="X41" s="1123">
        <f>+'[2]Maturity Profile (Eng)'!X41</f>
        <v>0</v>
      </c>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row>
    <row r="42" spans="2:73" s="35" customFormat="1">
      <c r="B42" s="1129"/>
      <c r="C42" s="1130" t="s">
        <v>73</v>
      </c>
      <c r="D42" s="1131" t="s">
        <v>147</v>
      </c>
      <c r="E42" s="1131"/>
      <c r="F42" s="1131"/>
      <c r="G42" s="1131"/>
      <c r="H42" s="760">
        <v>20200</v>
      </c>
      <c r="I42" s="761">
        <f t="shared" si="6"/>
        <v>0</v>
      </c>
      <c r="J42" s="1123">
        <f>+'[2]Maturity Profile (Eng)'!J42</f>
        <v>0</v>
      </c>
      <c r="K42" s="1123">
        <f>+'[2]Maturity Profile (Eng)'!K42</f>
        <v>0</v>
      </c>
      <c r="L42" s="1123">
        <f>+'[2]Maturity Profile (Eng)'!L42</f>
        <v>0</v>
      </c>
      <c r="M42" s="1123">
        <f>+'[2]Maturity Profile (Eng)'!M42</f>
        <v>0</v>
      </c>
      <c r="N42" s="1123">
        <f>+'[2]Maturity Profile (Eng)'!N42</f>
        <v>0</v>
      </c>
      <c r="O42" s="1123">
        <f>+'[2]Maturity Profile (Eng)'!O42</f>
        <v>0</v>
      </c>
      <c r="P42" s="1123">
        <f>+'[2]Maturity Profile (Eng)'!P42</f>
        <v>0</v>
      </c>
      <c r="Q42" s="1123">
        <f>+'[2]Maturity Profile (Eng)'!Q42</f>
        <v>0</v>
      </c>
      <c r="R42" s="1123">
        <f>+'[2]Maturity Profile (Eng)'!R42</f>
        <v>0</v>
      </c>
      <c r="S42" s="1123">
        <f>+'[2]Maturity Profile (Eng)'!S42</f>
        <v>0</v>
      </c>
      <c r="T42" s="1123">
        <f>+'[2]Maturity Profile (Eng)'!T42</f>
        <v>0</v>
      </c>
      <c r="U42" s="1123">
        <f>+'[2]Maturity Profile (Eng)'!U42</f>
        <v>0</v>
      </c>
      <c r="V42" s="1123">
        <f>+'[2]Maturity Profile (Eng)'!V42</f>
        <v>0</v>
      </c>
      <c r="W42" s="1123">
        <f>+'[2]Maturity Profile (Eng)'!W42</f>
        <v>0</v>
      </c>
      <c r="X42" s="1123">
        <f>+'[2]Maturity Profile (Eng)'!X42</f>
        <v>0</v>
      </c>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row>
    <row r="43" spans="2:73" s="35" customFormat="1">
      <c r="B43" s="1129"/>
      <c r="C43" s="1130" t="s">
        <v>77</v>
      </c>
      <c r="D43" s="1131" t="s">
        <v>150</v>
      </c>
      <c r="E43" s="1131"/>
      <c r="F43" s="1131"/>
      <c r="G43" s="1131"/>
      <c r="H43" s="760">
        <v>20300</v>
      </c>
      <c r="I43" s="761">
        <f t="shared" si="6"/>
        <v>1354900</v>
      </c>
      <c r="J43" s="1123">
        <f>+'[2]Maturity Profile (Eng)'!J43</f>
        <v>1138000</v>
      </c>
      <c r="K43" s="1123">
        <f>+'[2]Maturity Profile (Eng)'!K43</f>
        <v>2900</v>
      </c>
      <c r="L43" s="1123">
        <f>+'[2]Maturity Profile (Eng)'!L43</f>
        <v>47000</v>
      </c>
      <c r="M43" s="1123">
        <f>+'[2]Maturity Profile (Eng)'!M43</f>
        <v>43200</v>
      </c>
      <c r="N43" s="1123">
        <f>+'[2]Maturity Profile (Eng)'!N43</f>
        <v>0</v>
      </c>
      <c r="O43" s="1123">
        <f>+'[2]Maturity Profile (Eng)'!O43</f>
        <v>8800</v>
      </c>
      <c r="P43" s="1123">
        <f>+'[2]Maturity Profile (Eng)'!P43</f>
        <v>0</v>
      </c>
      <c r="Q43" s="1123">
        <f>+'[2]Maturity Profile (Eng)'!Q43</f>
        <v>0</v>
      </c>
      <c r="R43" s="1123">
        <f>+'[2]Maturity Profile (Eng)'!R43</f>
        <v>0</v>
      </c>
      <c r="S43" s="1123">
        <f>+'[2]Maturity Profile (Eng)'!S43</f>
        <v>115000</v>
      </c>
      <c r="T43" s="1123">
        <f>+'[2]Maturity Profile (Eng)'!T43</f>
        <v>0</v>
      </c>
      <c r="U43" s="1123">
        <f>+'[2]Maturity Profile (Eng)'!U43</f>
        <v>0</v>
      </c>
      <c r="V43" s="1123">
        <f>+'[2]Maturity Profile (Eng)'!V43</f>
        <v>0</v>
      </c>
      <c r="W43" s="1123">
        <f>+'[2]Maturity Profile (Eng)'!W43</f>
        <v>0</v>
      </c>
      <c r="X43" s="1123">
        <f>+'[2]Maturity Profile (Eng)'!X43</f>
        <v>0</v>
      </c>
      <c r="Y43" s="25" t="s">
        <v>281</v>
      </c>
      <c r="Z43" s="25" t="s">
        <v>282</v>
      </c>
      <c r="AA43" s="25"/>
      <c r="AB43" s="25"/>
      <c r="AC43" s="25"/>
      <c r="AD43" s="25"/>
      <c r="AE43" s="25">
        <f>'[3]Maturity Profile (Eng)'!AE43</f>
        <v>181000</v>
      </c>
      <c r="AF43" s="30">
        <f>I43</f>
        <v>1354900</v>
      </c>
      <c r="AG43" s="30">
        <f>AE43-AF43</f>
        <v>-1173900</v>
      </c>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row>
    <row r="44" spans="2:73" s="35" customFormat="1">
      <c r="B44" s="1129"/>
      <c r="C44" s="1130" t="s">
        <v>81</v>
      </c>
      <c r="D44" s="1131" t="s">
        <v>153</v>
      </c>
      <c r="E44" s="1131"/>
      <c r="F44" s="1131"/>
      <c r="G44" s="1131"/>
      <c r="H44" s="760">
        <v>20400</v>
      </c>
      <c r="I44" s="761">
        <f t="shared" si="6"/>
        <v>0</v>
      </c>
      <c r="J44" s="1132">
        <f>+SUM(J45:J47)</f>
        <v>0</v>
      </c>
      <c r="K44" s="1132">
        <f t="shared" ref="K44:X44" si="10">+SUM(K45:K47)</f>
        <v>0</v>
      </c>
      <c r="L44" s="1132">
        <f t="shared" si="10"/>
        <v>0</v>
      </c>
      <c r="M44" s="1132">
        <f t="shared" si="10"/>
        <v>0</v>
      </c>
      <c r="N44" s="1132">
        <f t="shared" si="10"/>
        <v>0</v>
      </c>
      <c r="O44" s="1132">
        <f t="shared" si="10"/>
        <v>0</v>
      </c>
      <c r="P44" s="1132">
        <f t="shared" si="10"/>
        <v>0</v>
      </c>
      <c r="Q44" s="1132">
        <f t="shared" si="10"/>
        <v>0</v>
      </c>
      <c r="R44" s="1132">
        <f t="shared" si="10"/>
        <v>0</v>
      </c>
      <c r="S44" s="1132">
        <f t="shared" si="10"/>
        <v>0</v>
      </c>
      <c r="T44" s="1132">
        <f t="shared" si="10"/>
        <v>0</v>
      </c>
      <c r="U44" s="1132">
        <f t="shared" si="10"/>
        <v>0</v>
      </c>
      <c r="V44" s="1132">
        <f t="shared" si="10"/>
        <v>0</v>
      </c>
      <c r="W44" s="1132">
        <f t="shared" si="10"/>
        <v>0</v>
      </c>
      <c r="X44" s="1132">
        <f t="shared" si="10"/>
        <v>0</v>
      </c>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row>
    <row r="45" spans="2:73" s="35" customFormat="1">
      <c r="B45" s="1116"/>
      <c r="C45" s="1117"/>
      <c r="D45" s="1118" t="s">
        <v>84</v>
      </c>
      <c r="E45" s="1118" t="s">
        <v>155</v>
      </c>
      <c r="F45" s="1118"/>
      <c r="G45" s="1118"/>
      <c r="H45" s="747">
        <v>20410</v>
      </c>
      <c r="I45" s="748">
        <f t="shared" si="6"/>
        <v>0</v>
      </c>
      <c r="J45" s="1123">
        <f>+'[2]Maturity Profile (Eng)'!J45</f>
        <v>0</v>
      </c>
      <c r="K45" s="1123">
        <f>+'[2]Maturity Profile (Eng)'!K45</f>
        <v>0</v>
      </c>
      <c r="L45" s="1123">
        <f>+'[2]Maturity Profile (Eng)'!L45</f>
        <v>0</v>
      </c>
      <c r="M45" s="1123">
        <f>+'[2]Maturity Profile (Eng)'!M45</f>
        <v>0</v>
      </c>
      <c r="N45" s="1123">
        <f>+'[2]Maturity Profile (Eng)'!N45</f>
        <v>0</v>
      </c>
      <c r="O45" s="1123">
        <f>+'[2]Maturity Profile (Eng)'!O45</f>
        <v>0</v>
      </c>
      <c r="P45" s="1123">
        <f>+'[2]Maturity Profile (Eng)'!P45</f>
        <v>0</v>
      </c>
      <c r="Q45" s="1123">
        <f>+'[2]Maturity Profile (Eng)'!Q45</f>
        <v>0</v>
      </c>
      <c r="R45" s="1123">
        <f>+'[2]Maturity Profile (Eng)'!R45</f>
        <v>0</v>
      </c>
      <c r="S45" s="1123">
        <f>+'[2]Maturity Profile (Eng)'!S45</f>
        <v>0</v>
      </c>
      <c r="T45" s="1123">
        <f>+'[2]Maturity Profile (Eng)'!T45</f>
        <v>0</v>
      </c>
      <c r="U45" s="1123">
        <f>+'[2]Maturity Profile (Eng)'!U45</f>
        <v>0</v>
      </c>
      <c r="V45" s="1123">
        <f>+'[2]Maturity Profile (Eng)'!V45</f>
        <v>0</v>
      </c>
      <c r="W45" s="1123">
        <f>+'[2]Maturity Profile (Eng)'!W45</f>
        <v>0</v>
      </c>
      <c r="X45" s="1123">
        <f>+'[2]Maturity Profile (Eng)'!X45</f>
        <v>0</v>
      </c>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row>
    <row r="46" spans="2:73" s="35" customFormat="1">
      <c r="B46" s="1116"/>
      <c r="C46" s="1117"/>
      <c r="D46" s="1118" t="s">
        <v>100</v>
      </c>
      <c r="E46" s="1118" t="s">
        <v>157</v>
      </c>
      <c r="F46" s="1118"/>
      <c r="G46" s="1118"/>
      <c r="H46" s="747">
        <v>20420</v>
      </c>
      <c r="I46" s="748">
        <f t="shared" si="6"/>
        <v>0</v>
      </c>
      <c r="J46" s="1123">
        <f>+'[2]Maturity Profile (Eng)'!J46</f>
        <v>0</v>
      </c>
      <c r="K46" s="1123">
        <f>+'[2]Maturity Profile (Eng)'!K46</f>
        <v>0</v>
      </c>
      <c r="L46" s="1123">
        <f>+'[2]Maturity Profile (Eng)'!L46</f>
        <v>0</v>
      </c>
      <c r="M46" s="1123">
        <f>+'[2]Maturity Profile (Eng)'!M46</f>
        <v>0</v>
      </c>
      <c r="N46" s="1123">
        <f>+'[2]Maturity Profile (Eng)'!N46</f>
        <v>0</v>
      </c>
      <c r="O46" s="1123">
        <f>+'[2]Maturity Profile (Eng)'!O46</f>
        <v>0</v>
      </c>
      <c r="P46" s="1123">
        <f>+'[2]Maturity Profile (Eng)'!P46</f>
        <v>0</v>
      </c>
      <c r="Q46" s="1123">
        <f>+'[2]Maturity Profile (Eng)'!Q46</f>
        <v>0</v>
      </c>
      <c r="R46" s="1123">
        <f>+'[2]Maturity Profile (Eng)'!R46</f>
        <v>0</v>
      </c>
      <c r="S46" s="1123">
        <f>+'[2]Maturity Profile (Eng)'!S46</f>
        <v>0</v>
      </c>
      <c r="T46" s="1123">
        <f>+'[2]Maturity Profile (Eng)'!T46</f>
        <v>0</v>
      </c>
      <c r="U46" s="1123">
        <f>+'[2]Maturity Profile (Eng)'!U46</f>
        <v>0</v>
      </c>
      <c r="V46" s="1123">
        <f>+'[2]Maturity Profile (Eng)'!V46</f>
        <v>0</v>
      </c>
      <c r="W46" s="1123">
        <f>+'[2]Maturity Profile (Eng)'!W46</f>
        <v>0</v>
      </c>
      <c r="X46" s="1123">
        <f>+'[2]Maturity Profile (Eng)'!X46</f>
        <v>0</v>
      </c>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row>
    <row r="47" spans="2:73" s="35" customFormat="1">
      <c r="B47" s="1116"/>
      <c r="C47" s="1117"/>
      <c r="D47" s="1118" t="s">
        <v>137</v>
      </c>
      <c r="E47" s="1118" t="s">
        <v>101</v>
      </c>
      <c r="F47" s="1118"/>
      <c r="G47" s="1118"/>
      <c r="H47" s="747">
        <v>20490</v>
      </c>
      <c r="I47" s="748">
        <f t="shared" si="6"/>
        <v>0</v>
      </c>
      <c r="J47" s="1123">
        <f>+'[2]Maturity Profile (Eng)'!J47</f>
        <v>0</v>
      </c>
      <c r="K47" s="1123">
        <f>+'[2]Maturity Profile (Eng)'!K47</f>
        <v>0</v>
      </c>
      <c r="L47" s="1123">
        <f>+'[2]Maturity Profile (Eng)'!L47</f>
        <v>0</v>
      </c>
      <c r="M47" s="1123">
        <f>+'[2]Maturity Profile (Eng)'!M47</f>
        <v>0</v>
      </c>
      <c r="N47" s="1123">
        <f>+'[2]Maturity Profile (Eng)'!N47</f>
        <v>0</v>
      </c>
      <c r="O47" s="1123">
        <f>+'[2]Maturity Profile (Eng)'!O47</f>
        <v>0</v>
      </c>
      <c r="P47" s="1123">
        <f>+'[2]Maturity Profile (Eng)'!P47</f>
        <v>0</v>
      </c>
      <c r="Q47" s="1123">
        <f>+'[2]Maturity Profile (Eng)'!Q47</f>
        <v>0</v>
      </c>
      <c r="R47" s="1123">
        <f>+'[2]Maturity Profile (Eng)'!R47</f>
        <v>0</v>
      </c>
      <c r="S47" s="1123">
        <f>+'[2]Maturity Profile (Eng)'!S47</f>
        <v>0</v>
      </c>
      <c r="T47" s="1123">
        <f>+'[2]Maturity Profile (Eng)'!T47</f>
        <v>0</v>
      </c>
      <c r="U47" s="1123">
        <f>+'[2]Maturity Profile (Eng)'!U47</f>
        <v>0</v>
      </c>
      <c r="V47" s="1123">
        <f>+'[2]Maturity Profile (Eng)'!V47</f>
        <v>0</v>
      </c>
      <c r="W47" s="1123">
        <f>+'[2]Maturity Profile (Eng)'!W47</f>
        <v>0</v>
      </c>
      <c r="X47" s="1123">
        <f>+'[2]Maturity Profile (Eng)'!X47</f>
        <v>0</v>
      </c>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row>
    <row r="48" spans="2:73" s="35" customFormat="1">
      <c r="B48" s="1129"/>
      <c r="C48" s="1130" t="s">
        <v>105</v>
      </c>
      <c r="D48" s="1131" t="s">
        <v>160</v>
      </c>
      <c r="E48" s="1131"/>
      <c r="F48" s="1131"/>
      <c r="G48" s="1131"/>
      <c r="H48" s="760">
        <v>20500</v>
      </c>
      <c r="I48" s="761">
        <f t="shared" si="6"/>
        <v>0</v>
      </c>
      <c r="J48" s="1132">
        <f>+SUM(J49:J50)</f>
        <v>0</v>
      </c>
      <c r="K48" s="1132">
        <f t="shared" ref="K48:X48" si="11">+SUM(K49:K50)</f>
        <v>0</v>
      </c>
      <c r="L48" s="1132">
        <f t="shared" si="11"/>
        <v>0</v>
      </c>
      <c r="M48" s="1132">
        <f t="shared" si="11"/>
        <v>0</v>
      </c>
      <c r="N48" s="1132">
        <f t="shared" si="11"/>
        <v>0</v>
      </c>
      <c r="O48" s="1132">
        <f t="shared" si="11"/>
        <v>0</v>
      </c>
      <c r="P48" s="1132">
        <f t="shared" si="11"/>
        <v>0</v>
      </c>
      <c r="Q48" s="1132">
        <f t="shared" si="11"/>
        <v>0</v>
      </c>
      <c r="R48" s="1132">
        <f t="shared" si="11"/>
        <v>0</v>
      </c>
      <c r="S48" s="1132">
        <f t="shared" si="11"/>
        <v>0</v>
      </c>
      <c r="T48" s="1132">
        <f t="shared" si="11"/>
        <v>0</v>
      </c>
      <c r="U48" s="1132">
        <f t="shared" si="11"/>
        <v>0</v>
      </c>
      <c r="V48" s="1132">
        <f t="shared" si="11"/>
        <v>0</v>
      </c>
      <c r="W48" s="1132">
        <f t="shared" si="11"/>
        <v>0</v>
      </c>
      <c r="X48" s="1132">
        <f t="shared" si="11"/>
        <v>0</v>
      </c>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row>
    <row r="49" spans="2:73" s="35" customFormat="1">
      <c r="B49" s="1116"/>
      <c r="C49" s="1117"/>
      <c r="D49" s="1118" t="s">
        <v>84</v>
      </c>
      <c r="E49" s="1118" t="s">
        <v>162</v>
      </c>
      <c r="F49" s="1118"/>
      <c r="G49" s="1118"/>
      <c r="H49" s="747">
        <v>20510</v>
      </c>
      <c r="I49" s="748">
        <f t="shared" si="6"/>
        <v>0</v>
      </c>
      <c r="J49" s="1134">
        <f>+'[2]Maturity Profile (Eng)'!J49</f>
        <v>0</v>
      </c>
      <c r="K49" s="1134">
        <f>+'[2]Maturity Profile (Eng)'!K49</f>
        <v>0</v>
      </c>
      <c r="L49" s="1134">
        <f>+'[2]Maturity Profile (Eng)'!L49</f>
        <v>0</v>
      </c>
      <c r="M49" s="1134">
        <f>+'[2]Maturity Profile (Eng)'!M49</f>
        <v>0</v>
      </c>
      <c r="N49" s="1134">
        <f>+'[2]Maturity Profile (Eng)'!N49</f>
        <v>0</v>
      </c>
      <c r="O49" s="1134">
        <f>+'[2]Maturity Profile (Eng)'!O49</f>
        <v>0</v>
      </c>
      <c r="P49" s="1134">
        <f>+'[2]Maturity Profile (Eng)'!P49</f>
        <v>0</v>
      </c>
      <c r="Q49" s="1134">
        <f>+'[2]Maturity Profile (Eng)'!Q49</f>
        <v>0</v>
      </c>
      <c r="R49" s="1134">
        <f>+'[2]Maturity Profile (Eng)'!R49</f>
        <v>0</v>
      </c>
      <c r="S49" s="1134">
        <f>+'[2]Maturity Profile (Eng)'!S49</f>
        <v>0</v>
      </c>
      <c r="T49" s="1134">
        <f>+'[2]Maturity Profile (Eng)'!T49</f>
        <v>0</v>
      </c>
      <c r="U49" s="1134">
        <f>+'[2]Maturity Profile (Eng)'!U49</f>
        <v>0</v>
      </c>
      <c r="V49" s="1134">
        <f>+'[2]Maturity Profile (Eng)'!V49</f>
        <v>0</v>
      </c>
      <c r="W49" s="1134">
        <f>+'[2]Maturity Profile (Eng)'!W49</f>
        <v>0</v>
      </c>
      <c r="X49" s="1134">
        <f>+'[2]Maturity Profile (Eng)'!X49</f>
        <v>0</v>
      </c>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row>
    <row r="50" spans="2:73" s="35" customFormat="1">
      <c r="B50" s="1116"/>
      <c r="C50" s="1117"/>
      <c r="D50" s="1118" t="s">
        <v>100</v>
      </c>
      <c r="E50" s="1118" t="s">
        <v>101</v>
      </c>
      <c r="F50" s="1118"/>
      <c r="G50" s="1118"/>
      <c r="H50" s="747">
        <v>20590</v>
      </c>
      <c r="I50" s="748">
        <f t="shared" si="6"/>
        <v>0</v>
      </c>
      <c r="J50" s="1134">
        <f>+'[2]Maturity Profile (Eng)'!J50</f>
        <v>0</v>
      </c>
      <c r="K50" s="1134">
        <f>+'[2]Maturity Profile (Eng)'!K50</f>
        <v>0</v>
      </c>
      <c r="L50" s="1134">
        <f>+'[2]Maturity Profile (Eng)'!L50</f>
        <v>0</v>
      </c>
      <c r="M50" s="1134">
        <f>+'[2]Maturity Profile (Eng)'!M50</f>
        <v>0</v>
      </c>
      <c r="N50" s="1134">
        <f>+'[2]Maturity Profile (Eng)'!N50</f>
        <v>0</v>
      </c>
      <c r="O50" s="1134">
        <f>+'[2]Maturity Profile (Eng)'!O50</f>
        <v>0</v>
      </c>
      <c r="P50" s="1134">
        <f>+'[2]Maturity Profile (Eng)'!P50</f>
        <v>0</v>
      </c>
      <c r="Q50" s="1134">
        <f>+'[2]Maturity Profile (Eng)'!Q50</f>
        <v>0</v>
      </c>
      <c r="R50" s="1134">
        <f>+'[2]Maturity Profile (Eng)'!R50</f>
        <v>0</v>
      </c>
      <c r="S50" s="1134">
        <f>+'[2]Maturity Profile (Eng)'!S50</f>
        <v>0</v>
      </c>
      <c r="T50" s="1134">
        <f>+'[2]Maturity Profile (Eng)'!T50</f>
        <v>0</v>
      </c>
      <c r="U50" s="1134">
        <f>+'[2]Maturity Profile (Eng)'!U50</f>
        <v>0</v>
      </c>
      <c r="V50" s="1134">
        <f>+'[2]Maturity Profile (Eng)'!V50</f>
        <v>0</v>
      </c>
      <c r="W50" s="1134">
        <f>+'[2]Maturity Profile (Eng)'!W50</f>
        <v>0</v>
      </c>
      <c r="X50" s="1134">
        <f>+'[2]Maturity Profile (Eng)'!X50</f>
        <v>0</v>
      </c>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row>
    <row r="51" spans="2:73" s="35" customFormat="1">
      <c r="B51" s="1129"/>
      <c r="C51" s="1130" t="s">
        <v>116</v>
      </c>
      <c r="D51" s="1131" t="s">
        <v>167</v>
      </c>
      <c r="E51" s="1131"/>
      <c r="F51" s="1131"/>
      <c r="G51" s="1131"/>
      <c r="H51" s="760">
        <v>20700</v>
      </c>
      <c r="I51" s="761">
        <f t="shared" si="6"/>
        <v>0</v>
      </c>
      <c r="J51" s="1135">
        <f>+SUM(J52:J53)</f>
        <v>0</v>
      </c>
      <c r="K51" s="1135">
        <f t="shared" ref="K51:X51" si="12">+SUM(K52:K53)</f>
        <v>0</v>
      </c>
      <c r="L51" s="1135">
        <f t="shared" si="12"/>
        <v>0</v>
      </c>
      <c r="M51" s="1135">
        <f t="shared" si="12"/>
        <v>0</v>
      </c>
      <c r="N51" s="1135">
        <f t="shared" si="12"/>
        <v>0</v>
      </c>
      <c r="O51" s="1135">
        <f t="shared" si="12"/>
        <v>0</v>
      </c>
      <c r="P51" s="1135">
        <f t="shared" si="12"/>
        <v>0</v>
      </c>
      <c r="Q51" s="1135">
        <f t="shared" si="12"/>
        <v>0</v>
      </c>
      <c r="R51" s="1135">
        <f t="shared" si="12"/>
        <v>0</v>
      </c>
      <c r="S51" s="1135">
        <f t="shared" si="12"/>
        <v>0</v>
      </c>
      <c r="T51" s="1135">
        <f t="shared" si="12"/>
        <v>0</v>
      </c>
      <c r="U51" s="1135">
        <f t="shared" si="12"/>
        <v>0</v>
      </c>
      <c r="V51" s="1135">
        <f t="shared" si="12"/>
        <v>0</v>
      </c>
      <c r="W51" s="1135">
        <f t="shared" si="12"/>
        <v>0</v>
      </c>
      <c r="X51" s="1135">
        <f t="shared" si="12"/>
        <v>0</v>
      </c>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row>
    <row r="52" spans="2:73" s="35" customFormat="1" ht="15" customHeight="1">
      <c r="B52" s="1116"/>
      <c r="C52" s="1117"/>
      <c r="D52" s="1118" t="s">
        <v>84</v>
      </c>
      <c r="E52" s="1236" t="s">
        <v>170</v>
      </c>
      <c r="F52" s="1236"/>
      <c r="G52" s="1236"/>
      <c r="H52" s="747">
        <v>20710</v>
      </c>
      <c r="I52" s="748">
        <f t="shared" si="6"/>
        <v>0</v>
      </c>
      <c r="J52" s="1134">
        <f>+'[2]Maturity Profile (Eng)'!J52</f>
        <v>0</v>
      </c>
      <c r="K52" s="1134">
        <f>+'[2]Maturity Profile (Eng)'!K52</f>
        <v>0</v>
      </c>
      <c r="L52" s="1134">
        <f>+'[2]Maturity Profile (Eng)'!L52</f>
        <v>0</v>
      </c>
      <c r="M52" s="1134">
        <f>+'[2]Maturity Profile (Eng)'!M52</f>
        <v>0</v>
      </c>
      <c r="N52" s="1134">
        <f>+'[2]Maturity Profile (Eng)'!N52</f>
        <v>0</v>
      </c>
      <c r="O52" s="1134">
        <f>+'[2]Maturity Profile (Eng)'!O52</f>
        <v>0</v>
      </c>
      <c r="P52" s="1134">
        <f>+'[2]Maturity Profile (Eng)'!P52</f>
        <v>0</v>
      </c>
      <c r="Q52" s="1134">
        <f>+'[2]Maturity Profile (Eng)'!Q52</f>
        <v>0</v>
      </c>
      <c r="R52" s="1134">
        <f>+'[2]Maturity Profile (Eng)'!R52</f>
        <v>0</v>
      </c>
      <c r="S52" s="1134">
        <f>+'[2]Maturity Profile (Eng)'!S52</f>
        <v>0</v>
      </c>
      <c r="T52" s="1134">
        <f>+'[2]Maturity Profile (Eng)'!T52</f>
        <v>0</v>
      </c>
      <c r="U52" s="1134">
        <f>+'[2]Maturity Profile (Eng)'!U52</f>
        <v>0</v>
      </c>
      <c r="V52" s="1134">
        <f>+'[2]Maturity Profile (Eng)'!V52</f>
        <v>0</v>
      </c>
      <c r="W52" s="1134">
        <f>+'[2]Maturity Profile (Eng)'!W52</f>
        <v>0</v>
      </c>
      <c r="X52" s="1134">
        <f>+'[2]Maturity Profile (Eng)'!X52</f>
        <v>0</v>
      </c>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row>
    <row r="53" spans="2:73" s="35" customFormat="1">
      <c r="B53" s="1116"/>
      <c r="C53" s="1117"/>
      <c r="D53" s="1118" t="s">
        <v>100</v>
      </c>
      <c r="E53" s="1118" t="s">
        <v>101</v>
      </c>
      <c r="F53" s="1118"/>
      <c r="G53" s="1118"/>
      <c r="H53" s="747">
        <v>20790</v>
      </c>
      <c r="I53" s="748">
        <f t="shared" si="6"/>
        <v>0</v>
      </c>
      <c r="J53" s="1134">
        <f>+'[2]Maturity Profile (Eng)'!J53</f>
        <v>0</v>
      </c>
      <c r="K53" s="1134">
        <f>+'[2]Maturity Profile (Eng)'!K53</f>
        <v>0</v>
      </c>
      <c r="L53" s="1134">
        <f>+'[2]Maturity Profile (Eng)'!L53</f>
        <v>0</v>
      </c>
      <c r="M53" s="1134">
        <f>+'[2]Maturity Profile (Eng)'!M53</f>
        <v>0</v>
      </c>
      <c r="N53" s="1134">
        <f>+'[2]Maturity Profile (Eng)'!N53</f>
        <v>0</v>
      </c>
      <c r="O53" s="1134">
        <f>+'[2]Maturity Profile (Eng)'!O53</f>
        <v>0</v>
      </c>
      <c r="P53" s="1134">
        <f>+'[2]Maturity Profile (Eng)'!P53</f>
        <v>0</v>
      </c>
      <c r="Q53" s="1134">
        <f>+'[2]Maturity Profile (Eng)'!Q53</f>
        <v>0</v>
      </c>
      <c r="R53" s="1134">
        <f>+'[2]Maturity Profile (Eng)'!R53</f>
        <v>0</v>
      </c>
      <c r="S53" s="1134">
        <f>+'[2]Maturity Profile (Eng)'!S53</f>
        <v>0</v>
      </c>
      <c r="T53" s="1134">
        <f>+'[2]Maturity Profile (Eng)'!T53</f>
        <v>0</v>
      </c>
      <c r="U53" s="1134">
        <f>+'[2]Maturity Profile (Eng)'!U53</f>
        <v>0</v>
      </c>
      <c r="V53" s="1134">
        <f>+'[2]Maturity Profile (Eng)'!V53</f>
        <v>0</v>
      </c>
      <c r="W53" s="1134">
        <f>+'[2]Maturity Profile (Eng)'!W53</f>
        <v>0</v>
      </c>
      <c r="X53" s="1134">
        <f>+'[2]Maturity Profile (Eng)'!X53</f>
        <v>0</v>
      </c>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row>
    <row r="54" spans="2:73" s="35" customFormat="1" ht="15.75" thickBot="1">
      <c r="B54" s="763"/>
      <c r="C54" s="764" t="s">
        <v>124</v>
      </c>
      <c r="D54" s="765" t="s">
        <v>249</v>
      </c>
      <c r="E54" s="765"/>
      <c r="F54" s="765"/>
      <c r="G54" s="765"/>
      <c r="H54" s="766">
        <v>20600</v>
      </c>
      <c r="I54" s="767">
        <f t="shared" si="6"/>
        <v>0</v>
      </c>
      <c r="J54" s="757">
        <f>+'[2]Maturity Profile (Eng)'!J54</f>
        <v>0</v>
      </c>
      <c r="K54" s="757">
        <f>+'[2]Maturity Profile (Eng)'!K54</f>
        <v>0</v>
      </c>
      <c r="L54" s="757">
        <f>+'[2]Maturity Profile (Eng)'!L54</f>
        <v>0</v>
      </c>
      <c r="M54" s="757">
        <f>+'[2]Maturity Profile (Eng)'!M54</f>
        <v>0</v>
      </c>
      <c r="N54" s="757">
        <f>+'[2]Maturity Profile (Eng)'!N54</f>
        <v>0</v>
      </c>
      <c r="O54" s="757">
        <f>+'[2]Maturity Profile (Eng)'!O54</f>
        <v>0</v>
      </c>
      <c r="P54" s="757">
        <f>+'[2]Maturity Profile (Eng)'!P54</f>
        <v>0</v>
      </c>
      <c r="Q54" s="757">
        <f>+'[2]Maturity Profile (Eng)'!Q54</f>
        <v>0</v>
      </c>
      <c r="R54" s="757">
        <f>+'[2]Maturity Profile (Eng)'!R54</f>
        <v>0</v>
      </c>
      <c r="S54" s="757">
        <f>+'[2]Maturity Profile (Eng)'!S54</f>
        <v>0</v>
      </c>
      <c r="T54" s="757">
        <f>+'[2]Maturity Profile (Eng)'!T54</f>
        <v>0</v>
      </c>
      <c r="U54" s="757">
        <f>+'[2]Maturity Profile (Eng)'!U54</f>
        <v>0</v>
      </c>
      <c r="V54" s="757">
        <f>+'[2]Maturity Profile (Eng)'!V54</f>
        <v>0</v>
      </c>
      <c r="W54" s="757">
        <f>+'[2]Maturity Profile (Eng)'!W54</f>
        <v>0</v>
      </c>
      <c r="X54" s="757">
        <f>+'[2]Maturity Profile (Eng)'!X54</f>
        <v>0</v>
      </c>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row>
    <row r="55" spans="2:73" ht="15.75" thickBot="1">
      <c r="B55" s="324"/>
      <c r="C55" s="325"/>
      <c r="D55" s="325"/>
      <c r="E55" s="325"/>
      <c r="F55" s="325"/>
      <c r="G55" s="325"/>
      <c r="H55" s="239"/>
      <c r="I55" s="240"/>
      <c r="J55" s="241">
        <f>SUM(J43:L43)-SUM([4]NY!$J$43:$L$43)</f>
        <v>1011700</v>
      </c>
      <c r="K55" s="241"/>
      <c r="L55" s="241"/>
      <c r="M55" s="241"/>
      <c r="N55" s="241"/>
      <c r="O55" s="241"/>
      <c r="P55" s="242"/>
      <c r="Q55" s="242"/>
      <c r="R55" s="242"/>
      <c r="S55" s="242"/>
      <c r="T55" s="242"/>
      <c r="U55" s="242"/>
      <c r="V55" s="242"/>
      <c r="W55" s="242"/>
      <c r="X55" s="320"/>
    </row>
    <row r="56" spans="2:73" ht="15.75" thickBot="1">
      <c r="B56" s="330" t="s">
        <v>251</v>
      </c>
      <c r="C56" s="331"/>
      <c r="D56" s="331"/>
      <c r="E56" s="331"/>
      <c r="F56" s="331"/>
      <c r="G56" s="331"/>
      <c r="H56" s="231">
        <v>30000</v>
      </c>
      <c r="I56" s="238">
        <f>ROUND(SUM(J56:X56),0)</f>
        <v>839076</v>
      </c>
      <c r="J56" s="243">
        <f t="shared" ref="J56:X56" si="13">+J14-J34</f>
        <v>129718</v>
      </c>
      <c r="K56" s="243">
        <f t="shared" si="13"/>
        <v>39318</v>
      </c>
      <c r="L56" s="243">
        <f t="shared" si="13"/>
        <v>-43183</v>
      </c>
      <c r="M56" s="243">
        <f t="shared" si="13"/>
        <v>2066</v>
      </c>
      <c r="N56" s="243">
        <f t="shared" si="13"/>
        <v>30627</v>
      </c>
      <c r="O56" s="243">
        <f t="shared" si="13"/>
        <v>47975</v>
      </c>
      <c r="P56" s="243">
        <f t="shared" si="13"/>
        <v>122252</v>
      </c>
      <c r="Q56" s="243">
        <f t="shared" si="13"/>
        <v>262744</v>
      </c>
      <c r="R56" s="243">
        <f t="shared" si="13"/>
        <v>43258</v>
      </c>
      <c r="S56" s="243">
        <f t="shared" si="13"/>
        <v>-10648</v>
      </c>
      <c r="T56" s="243">
        <f t="shared" si="13"/>
        <v>138032</v>
      </c>
      <c r="U56" s="243">
        <f t="shared" si="13"/>
        <v>73707</v>
      </c>
      <c r="V56" s="243">
        <f t="shared" si="13"/>
        <v>0</v>
      </c>
      <c r="W56" s="243">
        <f t="shared" si="13"/>
        <v>0</v>
      </c>
      <c r="X56" s="243">
        <f t="shared" si="13"/>
        <v>3210</v>
      </c>
    </row>
    <row r="57" spans="2:73" ht="15.75" thickBot="1">
      <c r="B57" s="333"/>
      <c r="C57" s="325"/>
      <c r="D57" s="325"/>
      <c r="E57" s="325"/>
      <c r="F57" s="325"/>
      <c r="G57" s="325"/>
      <c r="H57" s="334"/>
      <c r="I57" s="244"/>
      <c r="J57" s="245"/>
      <c r="K57" s="245"/>
      <c r="L57" s="245"/>
      <c r="M57" s="245"/>
      <c r="N57" s="245"/>
      <c r="O57" s="245"/>
      <c r="P57" s="246"/>
      <c r="Q57" s="246"/>
      <c r="R57" s="246"/>
      <c r="S57" s="246"/>
      <c r="T57" s="246"/>
      <c r="U57" s="246"/>
      <c r="V57" s="246"/>
      <c r="W57" s="246"/>
      <c r="X57" s="247"/>
    </row>
    <row r="58" spans="2:73" s="36" customFormat="1">
      <c r="B58" s="339" t="s">
        <v>176</v>
      </c>
      <c r="C58" s="340" t="s">
        <v>177</v>
      </c>
      <c r="D58" s="341"/>
      <c r="E58" s="341"/>
      <c r="F58" s="341"/>
      <c r="G58" s="341"/>
      <c r="H58" s="279"/>
      <c r="I58" s="248"/>
      <c r="J58" s="249"/>
      <c r="K58" s="249"/>
      <c r="L58" s="249"/>
      <c r="M58" s="250"/>
      <c r="N58" s="249"/>
      <c r="O58" s="250"/>
      <c r="P58" s="251"/>
      <c r="Q58" s="249"/>
      <c r="R58" s="249"/>
      <c r="S58" s="249"/>
      <c r="T58" s="249"/>
      <c r="U58" s="249"/>
      <c r="V58" s="249"/>
      <c r="W58" s="249"/>
      <c r="X58" s="249"/>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row>
    <row r="59" spans="2:73">
      <c r="B59" s="1136" t="s">
        <v>65</v>
      </c>
      <c r="C59" s="1137" t="s">
        <v>181</v>
      </c>
      <c r="D59" s="1138"/>
      <c r="E59" s="1137"/>
      <c r="F59" s="1137"/>
      <c r="G59" s="1137"/>
      <c r="H59" s="768">
        <v>40000</v>
      </c>
      <c r="I59" s="761">
        <f t="shared" ref="I59:I66" si="14">ROUND(SUM(J59:X59),0)</f>
        <v>37991</v>
      </c>
      <c r="J59" s="769">
        <f>+J60+J66</f>
        <v>37990.588210000002</v>
      </c>
      <c r="K59" s="769">
        <f t="shared" ref="K59:X59" si="15">+K60+K66</f>
        <v>0</v>
      </c>
      <c r="L59" s="769">
        <f t="shared" si="15"/>
        <v>0</v>
      </c>
      <c r="M59" s="769">
        <f t="shared" si="15"/>
        <v>0</v>
      </c>
      <c r="N59" s="769">
        <f t="shared" si="15"/>
        <v>0</v>
      </c>
      <c r="O59" s="769">
        <f t="shared" si="15"/>
        <v>0</v>
      </c>
      <c r="P59" s="770">
        <f t="shared" si="15"/>
        <v>0</v>
      </c>
      <c r="Q59" s="770">
        <f t="shared" si="15"/>
        <v>0</v>
      </c>
      <c r="R59" s="770">
        <f t="shared" si="15"/>
        <v>0</v>
      </c>
      <c r="S59" s="770">
        <f t="shared" si="15"/>
        <v>0</v>
      </c>
      <c r="T59" s="770">
        <f t="shared" si="15"/>
        <v>0</v>
      </c>
      <c r="U59" s="770">
        <f t="shared" si="15"/>
        <v>0</v>
      </c>
      <c r="V59" s="770">
        <f t="shared" si="15"/>
        <v>0</v>
      </c>
      <c r="W59" s="770">
        <f t="shared" si="15"/>
        <v>0</v>
      </c>
      <c r="X59" s="770">
        <f t="shared" si="15"/>
        <v>0</v>
      </c>
    </row>
    <row r="60" spans="2:73">
      <c r="B60" s="1139"/>
      <c r="C60" s="1140" t="s">
        <v>66</v>
      </c>
      <c r="D60" s="1138" t="s">
        <v>182</v>
      </c>
      <c r="E60" s="1138"/>
      <c r="F60" s="1138"/>
      <c r="G60" s="1138"/>
      <c r="H60" s="768">
        <v>40100</v>
      </c>
      <c r="I60" s="771">
        <f t="shared" si="14"/>
        <v>0</v>
      </c>
      <c r="J60" s="772">
        <f>+J61+J62+J65</f>
        <v>0</v>
      </c>
      <c r="K60" s="772">
        <f t="shared" ref="K60:X60" si="16">+K61+K62+K65</f>
        <v>0</v>
      </c>
      <c r="L60" s="772">
        <f t="shared" si="16"/>
        <v>0</v>
      </c>
      <c r="M60" s="772">
        <f t="shared" si="16"/>
        <v>0</v>
      </c>
      <c r="N60" s="772">
        <f t="shared" si="16"/>
        <v>0</v>
      </c>
      <c r="O60" s="772">
        <f t="shared" si="16"/>
        <v>0</v>
      </c>
      <c r="P60" s="772">
        <f t="shared" si="16"/>
        <v>0</v>
      </c>
      <c r="Q60" s="772">
        <f t="shared" si="16"/>
        <v>0</v>
      </c>
      <c r="R60" s="772">
        <f t="shared" si="16"/>
        <v>0</v>
      </c>
      <c r="S60" s="772">
        <f t="shared" si="16"/>
        <v>0</v>
      </c>
      <c r="T60" s="772">
        <f t="shared" si="16"/>
        <v>0</v>
      </c>
      <c r="U60" s="772">
        <f t="shared" si="16"/>
        <v>0</v>
      </c>
      <c r="V60" s="772">
        <f t="shared" si="16"/>
        <v>0</v>
      </c>
      <c r="W60" s="772">
        <f t="shared" si="16"/>
        <v>0</v>
      </c>
      <c r="X60" s="772">
        <f t="shared" si="16"/>
        <v>0</v>
      </c>
    </row>
    <row r="61" spans="2:73" s="37" customFormat="1">
      <c r="B61" s="1141"/>
      <c r="C61" s="1142"/>
      <c r="D61" s="1142" t="s">
        <v>84</v>
      </c>
      <c r="E61" s="1143" t="s">
        <v>184</v>
      </c>
      <c r="F61" s="1143"/>
      <c r="G61" s="1143"/>
      <c r="H61" s="1144">
        <v>40110</v>
      </c>
      <c r="I61" s="1145">
        <f t="shared" si="14"/>
        <v>0</v>
      </c>
      <c r="J61" s="773">
        <f>+'[2]Maturity Profile (Eng)'!J61</f>
        <v>0</v>
      </c>
      <c r="K61" s="773">
        <f>+'[2]Maturity Profile (Eng)'!K61</f>
        <v>0</v>
      </c>
      <c r="L61" s="773">
        <f>+'[2]Maturity Profile (Eng)'!L61</f>
        <v>0</v>
      </c>
      <c r="M61" s="773">
        <f>+'[2]Maturity Profile (Eng)'!M61</f>
        <v>0</v>
      </c>
      <c r="N61" s="773">
        <f>+'[2]Maturity Profile (Eng)'!N61</f>
        <v>0</v>
      </c>
      <c r="O61" s="773">
        <f>+'[2]Maturity Profile (Eng)'!O61</f>
        <v>0</v>
      </c>
      <c r="P61" s="773">
        <f>+'[2]Maturity Profile (Eng)'!P61</f>
        <v>0</v>
      </c>
      <c r="Q61" s="773">
        <f>+'[2]Maturity Profile (Eng)'!Q61</f>
        <v>0</v>
      </c>
      <c r="R61" s="773">
        <f>+'[2]Maturity Profile (Eng)'!R61</f>
        <v>0</v>
      </c>
      <c r="S61" s="773">
        <f>+'[2]Maturity Profile (Eng)'!S61</f>
        <v>0</v>
      </c>
      <c r="T61" s="773">
        <f>+'[2]Maturity Profile (Eng)'!T61</f>
        <v>0</v>
      </c>
      <c r="U61" s="773">
        <f>+'[2]Maturity Profile (Eng)'!U61</f>
        <v>0</v>
      </c>
      <c r="V61" s="773">
        <f>+'[2]Maturity Profile (Eng)'!V61</f>
        <v>0</v>
      </c>
      <c r="W61" s="773">
        <f>+'[2]Maturity Profile (Eng)'!W61</f>
        <v>0</v>
      </c>
      <c r="X61" s="773">
        <f>+'[2]Maturity Profile (Eng)'!X61</f>
        <v>0</v>
      </c>
      <c r="Y61" s="27"/>
      <c r="Z61" s="25"/>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row>
    <row r="62" spans="2:73" s="37" customFormat="1">
      <c r="B62" s="1141"/>
      <c r="C62" s="1142"/>
      <c r="D62" s="1142" t="s">
        <v>100</v>
      </c>
      <c r="E62" s="1143" t="s">
        <v>188</v>
      </c>
      <c r="F62" s="1143"/>
      <c r="G62" s="1143"/>
      <c r="H62" s="1144">
        <v>40120</v>
      </c>
      <c r="I62" s="1145">
        <f t="shared" si="14"/>
        <v>0</v>
      </c>
      <c r="J62" s="774">
        <f>+J63+J64</f>
        <v>0</v>
      </c>
      <c r="K62" s="774">
        <f t="shared" ref="K62:X62" si="17">+K63+K64</f>
        <v>0</v>
      </c>
      <c r="L62" s="774">
        <f t="shared" si="17"/>
        <v>0</v>
      </c>
      <c r="M62" s="774">
        <f t="shared" si="17"/>
        <v>0</v>
      </c>
      <c r="N62" s="774">
        <f t="shared" si="17"/>
        <v>0</v>
      </c>
      <c r="O62" s="774">
        <f t="shared" si="17"/>
        <v>0</v>
      </c>
      <c r="P62" s="774">
        <f t="shared" si="17"/>
        <v>0</v>
      </c>
      <c r="Q62" s="774">
        <f t="shared" si="17"/>
        <v>0</v>
      </c>
      <c r="R62" s="774">
        <f t="shared" si="17"/>
        <v>0</v>
      </c>
      <c r="S62" s="774">
        <f t="shared" si="17"/>
        <v>0</v>
      </c>
      <c r="T62" s="774">
        <f t="shared" si="17"/>
        <v>0</v>
      </c>
      <c r="U62" s="774">
        <f t="shared" si="17"/>
        <v>0</v>
      </c>
      <c r="V62" s="774">
        <f t="shared" si="17"/>
        <v>0</v>
      </c>
      <c r="W62" s="774">
        <f t="shared" si="17"/>
        <v>0</v>
      </c>
      <c r="X62" s="774">
        <f t="shared" si="17"/>
        <v>0</v>
      </c>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row>
    <row r="63" spans="2:73" s="37" customFormat="1">
      <c r="B63" s="1141"/>
      <c r="C63" s="1142"/>
      <c r="D63" s="1142"/>
      <c r="E63" s="1143" t="s">
        <v>87</v>
      </c>
      <c r="F63" s="1143" t="s">
        <v>191</v>
      </c>
      <c r="G63" s="1143"/>
      <c r="H63" s="1144">
        <v>40121</v>
      </c>
      <c r="I63" s="1145">
        <f t="shared" si="14"/>
        <v>0</v>
      </c>
      <c r="J63" s="773">
        <v>0</v>
      </c>
      <c r="K63" s="773">
        <v>0</v>
      </c>
      <c r="L63" s="773">
        <v>0</v>
      </c>
      <c r="M63" s="773">
        <v>0</v>
      </c>
      <c r="N63" s="773">
        <v>0</v>
      </c>
      <c r="O63" s="773">
        <v>0</v>
      </c>
      <c r="P63" s="773">
        <v>0</v>
      </c>
      <c r="Q63" s="773">
        <v>0</v>
      </c>
      <c r="R63" s="773">
        <v>0</v>
      </c>
      <c r="S63" s="773">
        <v>0</v>
      </c>
      <c r="T63" s="773">
        <v>0</v>
      </c>
      <c r="U63" s="773">
        <v>0</v>
      </c>
      <c r="V63" s="773">
        <v>0</v>
      </c>
      <c r="W63" s="773">
        <v>0</v>
      </c>
      <c r="X63" s="773">
        <v>0</v>
      </c>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row>
    <row r="64" spans="2:73" s="37" customFormat="1">
      <c r="B64" s="1141"/>
      <c r="C64" s="1142"/>
      <c r="D64" s="1142"/>
      <c r="E64" s="1143" t="s">
        <v>90</v>
      </c>
      <c r="F64" s="1143" t="s">
        <v>193</v>
      </c>
      <c r="G64" s="1143"/>
      <c r="H64" s="1144">
        <v>40122</v>
      </c>
      <c r="I64" s="1145">
        <f t="shared" si="14"/>
        <v>0</v>
      </c>
      <c r="J64" s="773">
        <f>+'[2]Maturity Profile (Eng)'!J64</f>
        <v>0</v>
      </c>
      <c r="K64" s="773">
        <f>+'[2]Maturity Profile (Eng)'!K64</f>
        <v>0</v>
      </c>
      <c r="L64" s="773">
        <f>+'[2]Maturity Profile (Eng)'!L64</f>
        <v>0</v>
      </c>
      <c r="M64" s="773">
        <f>+'[2]Maturity Profile (Eng)'!M64</f>
        <v>0</v>
      </c>
      <c r="N64" s="773">
        <f>+'[2]Maturity Profile (Eng)'!N64</f>
        <v>0</v>
      </c>
      <c r="O64" s="773">
        <f>+'[2]Maturity Profile (Eng)'!O64</f>
        <v>0</v>
      </c>
      <c r="P64" s="773">
        <f>+'[2]Maturity Profile (Eng)'!P64</f>
        <v>0</v>
      </c>
      <c r="Q64" s="773">
        <f>+'[2]Maturity Profile (Eng)'!Q64</f>
        <v>0</v>
      </c>
      <c r="R64" s="773">
        <f>+'[2]Maturity Profile (Eng)'!R64</f>
        <v>0</v>
      </c>
      <c r="S64" s="773">
        <f>+'[2]Maturity Profile (Eng)'!S64</f>
        <v>0</v>
      </c>
      <c r="T64" s="773">
        <f>+'[2]Maturity Profile (Eng)'!T64</f>
        <v>0</v>
      </c>
      <c r="U64" s="773">
        <f>+'[2]Maturity Profile (Eng)'!U64</f>
        <v>0</v>
      </c>
      <c r="V64" s="773">
        <f>+'[2]Maturity Profile (Eng)'!V64</f>
        <v>0</v>
      </c>
      <c r="W64" s="773">
        <f>+'[2]Maturity Profile (Eng)'!W64</f>
        <v>0</v>
      </c>
      <c r="X64" s="773">
        <f>+'[2]Maturity Profile (Eng)'!X64</f>
        <v>0</v>
      </c>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row>
    <row r="65" spans="2:73" s="37" customFormat="1">
      <c r="B65" s="1141"/>
      <c r="C65" s="1142"/>
      <c r="D65" s="1142" t="s">
        <v>137</v>
      </c>
      <c r="E65" s="1143" t="s">
        <v>101</v>
      </c>
      <c r="F65" s="1143"/>
      <c r="G65" s="1143"/>
      <c r="H65" s="1146">
        <v>40190</v>
      </c>
      <c r="I65" s="1147">
        <f t="shared" si="14"/>
        <v>0</v>
      </c>
      <c r="J65" s="773">
        <f>+'[2]Maturity Profile (Eng)'!J65</f>
        <v>0</v>
      </c>
      <c r="K65" s="773">
        <f>+'[2]Maturity Profile (Eng)'!K65</f>
        <v>0</v>
      </c>
      <c r="L65" s="773">
        <f>+'[2]Maturity Profile (Eng)'!L65</f>
        <v>0</v>
      </c>
      <c r="M65" s="773">
        <f>+'[2]Maturity Profile (Eng)'!M65</f>
        <v>0</v>
      </c>
      <c r="N65" s="773">
        <f>+'[2]Maturity Profile (Eng)'!N65</f>
        <v>0</v>
      </c>
      <c r="O65" s="773">
        <f>+'[2]Maturity Profile (Eng)'!O65</f>
        <v>0</v>
      </c>
      <c r="P65" s="773">
        <f>+'[2]Maturity Profile (Eng)'!P65</f>
        <v>0</v>
      </c>
      <c r="Q65" s="773">
        <f>+'[2]Maturity Profile (Eng)'!Q65</f>
        <v>0</v>
      </c>
      <c r="R65" s="773">
        <f>+'[2]Maturity Profile (Eng)'!R65</f>
        <v>0</v>
      </c>
      <c r="S65" s="773">
        <f>+'[2]Maturity Profile (Eng)'!S65</f>
        <v>0</v>
      </c>
      <c r="T65" s="773">
        <f>+'[2]Maturity Profile (Eng)'!T65</f>
        <v>0</v>
      </c>
      <c r="U65" s="773">
        <f>+'[2]Maturity Profile (Eng)'!U65</f>
        <v>0</v>
      </c>
      <c r="V65" s="773">
        <f>+'[2]Maturity Profile (Eng)'!V65</f>
        <v>0</v>
      </c>
      <c r="W65" s="773">
        <f>+'[2]Maturity Profile (Eng)'!W65</f>
        <v>0</v>
      </c>
      <c r="X65" s="773">
        <f>+'[2]Maturity Profile (Eng)'!X65</f>
        <v>0</v>
      </c>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row>
    <row r="66" spans="2:73" s="37" customFormat="1">
      <c r="B66" s="1148"/>
      <c r="C66" s="1149" t="s">
        <v>73</v>
      </c>
      <c r="D66" s="1150" t="s">
        <v>196</v>
      </c>
      <c r="E66" s="1150"/>
      <c r="F66" s="1150"/>
      <c r="G66" s="1150"/>
      <c r="H66" s="1151">
        <v>40200</v>
      </c>
      <c r="I66" s="1152">
        <f t="shared" si="14"/>
        <v>37991</v>
      </c>
      <c r="J66" s="773">
        <f>+'[2]Maturity Profile (Eng)'!J66</f>
        <v>37990.588210000002</v>
      </c>
      <c r="K66" s="773">
        <f>+'[2]Maturity Profile (Eng)'!K66</f>
        <v>0</v>
      </c>
      <c r="L66" s="773">
        <f>+'[2]Maturity Profile (Eng)'!L66</f>
        <v>0</v>
      </c>
      <c r="M66" s="773">
        <f>+'[2]Maturity Profile (Eng)'!M66</f>
        <v>0</v>
      </c>
      <c r="N66" s="773">
        <f>+'[2]Maturity Profile (Eng)'!N66</f>
        <v>0</v>
      </c>
      <c r="O66" s="773">
        <f>+'[2]Maturity Profile (Eng)'!O66</f>
        <v>0</v>
      </c>
      <c r="P66" s="773">
        <f>+'[2]Maturity Profile (Eng)'!P66</f>
        <v>0</v>
      </c>
      <c r="Q66" s="773">
        <f>+'[2]Maturity Profile (Eng)'!Q66</f>
        <v>0</v>
      </c>
      <c r="R66" s="773">
        <f>+'[2]Maturity Profile (Eng)'!R66</f>
        <v>0</v>
      </c>
      <c r="S66" s="773">
        <f>+'[2]Maturity Profile (Eng)'!S66</f>
        <v>0</v>
      </c>
      <c r="T66" s="773">
        <f>+'[2]Maturity Profile (Eng)'!T66</f>
        <v>0</v>
      </c>
      <c r="U66" s="773">
        <f>+'[2]Maturity Profile (Eng)'!U66</f>
        <v>0</v>
      </c>
      <c r="V66" s="773">
        <f>+'[2]Maturity Profile (Eng)'!V66</f>
        <v>0</v>
      </c>
      <c r="W66" s="773">
        <f>+'[2]Maturity Profile (Eng)'!W66</f>
        <v>0</v>
      </c>
      <c r="X66" s="773">
        <f>+'[2]Maturity Profile (Eng)'!X66</f>
        <v>0</v>
      </c>
      <c r="Y66" s="27" t="s">
        <v>267</v>
      </c>
      <c r="Z66" s="25" t="s">
        <v>283</v>
      </c>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row>
    <row r="67" spans="2:73" s="37" customFormat="1">
      <c r="B67" s="1141"/>
      <c r="C67" s="1142"/>
      <c r="D67" s="1142"/>
      <c r="E67" s="1143"/>
      <c r="F67" s="1143"/>
      <c r="G67" s="1143"/>
      <c r="H67" s="1153"/>
      <c r="I67" s="1154"/>
      <c r="J67" s="1155"/>
      <c r="K67" s="1155"/>
      <c r="L67" s="1155"/>
      <c r="M67" s="1155"/>
      <c r="N67" s="1155"/>
      <c r="O67" s="1155"/>
      <c r="P67" s="252"/>
      <c r="Q67" s="253"/>
      <c r="R67" s="253"/>
      <c r="S67" s="253"/>
      <c r="T67" s="253"/>
      <c r="U67" s="253"/>
      <c r="V67" s="253"/>
      <c r="W67" s="253"/>
      <c r="X67" s="253"/>
      <c r="Y67" s="27"/>
      <c r="Z67" s="27"/>
      <c r="AA67" s="27">
        <f>(27722440.01+515444.64)/1000</f>
        <v>28237.884650000004</v>
      </c>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row>
    <row r="68" spans="2:73" s="37" customFormat="1">
      <c r="B68" s="1156" t="s">
        <v>128</v>
      </c>
      <c r="C68" s="1157" t="s">
        <v>201</v>
      </c>
      <c r="D68" s="1150"/>
      <c r="E68" s="1157"/>
      <c r="F68" s="1157"/>
      <c r="G68" s="1157"/>
      <c r="H68" s="768">
        <v>50000</v>
      </c>
      <c r="I68" s="761">
        <f t="shared" ref="I68:I76" si="18">ROUND(SUM(J68:X68),0)</f>
        <v>37991</v>
      </c>
      <c r="J68" s="769">
        <f>+J69+J76</f>
        <v>37990.588210000002</v>
      </c>
      <c r="K68" s="769">
        <f t="shared" ref="K68:X68" si="19">+K69+K76</f>
        <v>0</v>
      </c>
      <c r="L68" s="769">
        <f t="shared" si="19"/>
        <v>0</v>
      </c>
      <c r="M68" s="769">
        <f t="shared" si="19"/>
        <v>0</v>
      </c>
      <c r="N68" s="769">
        <f t="shared" si="19"/>
        <v>0</v>
      </c>
      <c r="O68" s="769">
        <f t="shared" si="19"/>
        <v>0</v>
      </c>
      <c r="P68" s="769">
        <f t="shared" si="19"/>
        <v>0</v>
      </c>
      <c r="Q68" s="769">
        <f t="shared" si="19"/>
        <v>0</v>
      </c>
      <c r="R68" s="769">
        <f t="shared" si="19"/>
        <v>0</v>
      </c>
      <c r="S68" s="769">
        <f t="shared" si="19"/>
        <v>0</v>
      </c>
      <c r="T68" s="769">
        <f t="shared" si="19"/>
        <v>0</v>
      </c>
      <c r="U68" s="769">
        <f t="shared" si="19"/>
        <v>0</v>
      </c>
      <c r="V68" s="769">
        <f t="shared" si="19"/>
        <v>0</v>
      </c>
      <c r="W68" s="769">
        <f t="shared" si="19"/>
        <v>0</v>
      </c>
      <c r="X68" s="769">
        <f t="shared" si="19"/>
        <v>0</v>
      </c>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row>
    <row r="69" spans="2:73" s="37" customFormat="1">
      <c r="B69" s="1148"/>
      <c r="C69" s="1149" t="s">
        <v>66</v>
      </c>
      <c r="D69" s="1150" t="s">
        <v>182</v>
      </c>
      <c r="E69" s="1150"/>
      <c r="F69" s="1150"/>
      <c r="G69" s="1150"/>
      <c r="H69" s="768">
        <v>50100</v>
      </c>
      <c r="I69" s="771">
        <f t="shared" si="18"/>
        <v>0</v>
      </c>
      <c r="J69" s="772">
        <f>+J70+J71+J72+J75</f>
        <v>0</v>
      </c>
      <c r="K69" s="772">
        <f t="shared" ref="K69:X69" si="20">+K70+K71+K72+K75</f>
        <v>0</v>
      </c>
      <c r="L69" s="772">
        <f t="shared" si="20"/>
        <v>0</v>
      </c>
      <c r="M69" s="772">
        <f t="shared" si="20"/>
        <v>0</v>
      </c>
      <c r="N69" s="772">
        <f t="shared" si="20"/>
        <v>0</v>
      </c>
      <c r="O69" s="772">
        <f t="shared" si="20"/>
        <v>0</v>
      </c>
      <c r="P69" s="772">
        <f t="shared" si="20"/>
        <v>0</v>
      </c>
      <c r="Q69" s="772">
        <f t="shared" si="20"/>
        <v>0</v>
      </c>
      <c r="R69" s="772">
        <f t="shared" si="20"/>
        <v>0</v>
      </c>
      <c r="S69" s="772">
        <f t="shared" si="20"/>
        <v>0</v>
      </c>
      <c r="T69" s="772">
        <f t="shared" si="20"/>
        <v>0</v>
      </c>
      <c r="U69" s="772">
        <f t="shared" si="20"/>
        <v>0</v>
      </c>
      <c r="V69" s="772">
        <f t="shared" si="20"/>
        <v>0</v>
      </c>
      <c r="W69" s="772">
        <f t="shared" si="20"/>
        <v>0</v>
      </c>
      <c r="X69" s="772">
        <f t="shared" si="20"/>
        <v>0</v>
      </c>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row>
    <row r="70" spans="2:73" s="37" customFormat="1">
      <c r="B70" s="1141"/>
      <c r="C70" s="1143"/>
      <c r="D70" s="1142" t="s">
        <v>84</v>
      </c>
      <c r="E70" s="1143" t="s">
        <v>202</v>
      </c>
      <c r="F70" s="1143"/>
      <c r="G70" s="1143"/>
      <c r="H70" s="1144">
        <v>50110</v>
      </c>
      <c r="I70" s="1145">
        <f t="shared" si="18"/>
        <v>0</v>
      </c>
      <c r="J70" s="773">
        <f>+'[2]Maturity Profile (Eng)'!J70</f>
        <v>0</v>
      </c>
      <c r="K70" s="773">
        <f>+'[2]Maturity Profile (Eng)'!K70</f>
        <v>0</v>
      </c>
      <c r="L70" s="773">
        <f>+'[2]Maturity Profile (Eng)'!L70</f>
        <v>0</v>
      </c>
      <c r="M70" s="773">
        <f>+'[2]Maturity Profile (Eng)'!M70</f>
        <v>0</v>
      </c>
      <c r="N70" s="773">
        <f>+'[2]Maturity Profile (Eng)'!N70</f>
        <v>0</v>
      </c>
      <c r="O70" s="773">
        <f>+'[2]Maturity Profile (Eng)'!O70</f>
        <v>0</v>
      </c>
      <c r="P70" s="773">
        <f>+'[2]Maturity Profile (Eng)'!P70</f>
        <v>0</v>
      </c>
      <c r="Q70" s="773">
        <f>+'[2]Maturity Profile (Eng)'!Q70</f>
        <v>0</v>
      </c>
      <c r="R70" s="773">
        <f>+'[2]Maturity Profile (Eng)'!R70</f>
        <v>0</v>
      </c>
      <c r="S70" s="773">
        <f>+'[2]Maturity Profile (Eng)'!S70</f>
        <v>0</v>
      </c>
      <c r="T70" s="773">
        <f>+'[2]Maturity Profile (Eng)'!T70</f>
        <v>0</v>
      </c>
      <c r="U70" s="773">
        <f>+'[2]Maturity Profile (Eng)'!U70</f>
        <v>0</v>
      </c>
      <c r="V70" s="773">
        <f>+'[2]Maturity Profile (Eng)'!V70</f>
        <v>0</v>
      </c>
      <c r="W70" s="773">
        <f>+'[2]Maturity Profile (Eng)'!W70</f>
        <v>0</v>
      </c>
      <c r="X70" s="773">
        <f>+'[2]Maturity Profile (Eng)'!X70</f>
        <v>0</v>
      </c>
      <c r="Y70" s="27"/>
      <c r="Z70" s="25" t="s">
        <v>284</v>
      </c>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row>
    <row r="71" spans="2:73" s="37" customFormat="1">
      <c r="B71" s="1141"/>
      <c r="C71" s="1143"/>
      <c r="D71" s="1142" t="s">
        <v>100</v>
      </c>
      <c r="E71" s="1143" t="s">
        <v>252</v>
      </c>
      <c r="F71" s="1143"/>
      <c r="G71" s="1143"/>
      <c r="H71" s="1144">
        <v>50120</v>
      </c>
      <c r="I71" s="1145">
        <f t="shared" si="18"/>
        <v>0</v>
      </c>
      <c r="J71" s="773">
        <f>+'[2]Maturity Profile (Eng)'!J71</f>
        <v>0</v>
      </c>
      <c r="K71" s="773">
        <f>+'[2]Maturity Profile (Eng)'!K71</f>
        <v>0</v>
      </c>
      <c r="L71" s="773">
        <f>+'[2]Maturity Profile (Eng)'!L71</f>
        <v>0</v>
      </c>
      <c r="M71" s="773">
        <f>+'[2]Maturity Profile (Eng)'!M71</f>
        <v>0</v>
      </c>
      <c r="N71" s="773">
        <f>+'[2]Maturity Profile (Eng)'!N71</f>
        <v>0</v>
      </c>
      <c r="O71" s="773">
        <f>+'[2]Maturity Profile (Eng)'!O71</f>
        <v>0</v>
      </c>
      <c r="P71" s="773">
        <f>+'[2]Maturity Profile (Eng)'!P71</f>
        <v>0</v>
      </c>
      <c r="Q71" s="773">
        <f>+'[2]Maturity Profile (Eng)'!Q71</f>
        <v>0</v>
      </c>
      <c r="R71" s="773">
        <f>+'[2]Maturity Profile (Eng)'!R71</f>
        <v>0</v>
      </c>
      <c r="S71" s="773">
        <f>+'[2]Maturity Profile (Eng)'!S71</f>
        <v>0</v>
      </c>
      <c r="T71" s="773">
        <f>+'[2]Maturity Profile (Eng)'!T71</f>
        <v>0</v>
      </c>
      <c r="U71" s="773">
        <f>+'[2]Maturity Profile (Eng)'!U71</f>
        <v>0</v>
      </c>
      <c r="V71" s="773">
        <f>+'[2]Maturity Profile (Eng)'!V71</f>
        <v>0</v>
      </c>
      <c r="W71" s="773">
        <f>+'[2]Maturity Profile (Eng)'!W71</f>
        <v>0</v>
      </c>
      <c r="X71" s="773">
        <f>+'[2]Maturity Profile (Eng)'!X71</f>
        <v>0</v>
      </c>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row>
    <row r="72" spans="2:73" s="37" customFormat="1">
      <c r="B72" s="1141"/>
      <c r="C72" s="1143"/>
      <c r="D72" s="1142" t="s">
        <v>137</v>
      </c>
      <c r="E72" s="1143" t="s">
        <v>208</v>
      </c>
      <c r="F72" s="1143"/>
      <c r="G72" s="1143"/>
      <c r="H72" s="1144">
        <v>50130</v>
      </c>
      <c r="I72" s="1145">
        <f t="shared" si="18"/>
        <v>0</v>
      </c>
      <c r="J72" s="774">
        <f>+J73+J74</f>
        <v>0</v>
      </c>
      <c r="K72" s="774">
        <f t="shared" ref="K72:X72" si="21">+K73+K74</f>
        <v>0</v>
      </c>
      <c r="L72" s="774">
        <f t="shared" si="21"/>
        <v>0</v>
      </c>
      <c r="M72" s="774">
        <f t="shared" si="21"/>
        <v>0</v>
      </c>
      <c r="N72" s="774">
        <f t="shared" si="21"/>
        <v>0</v>
      </c>
      <c r="O72" s="774">
        <f t="shared" si="21"/>
        <v>0</v>
      </c>
      <c r="P72" s="776">
        <f t="shared" si="21"/>
        <v>0</v>
      </c>
      <c r="Q72" s="776">
        <f t="shared" si="21"/>
        <v>0</v>
      </c>
      <c r="R72" s="776">
        <f t="shared" si="21"/>
        <v>0</v>
      </c>
      <c r="S72" s="776">
        <f t="shared" si="21"/>
        <v>0</v>
      </c>
      <c r="T72" s="776">
        <f t="shared" si="21"/>
        <v>0</v>
      </c>
      <c r="U72" s="776">
        <f t="shared" si="21"/>
        <v>0</v>
      </c>
      <c r="V72" s="776">
        <f t="shared" si="21"/>
        <v>0</v>
      </c>
      <c r="W72" s="776">
        <f t="shared" si="21"/>
        <v>0</v>
      </c>
      <c r="X72" s="776">
        <f t="shared" si="21"/>
        <v>0</v>
      </c>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row>
    <row r="73" spans="2:73" s="37" customFormat="1">
      <c r="B73" s="1141"/>
      <c r="C73" s="1142"/>
      <c r="D73" s="1142"/>
      <c r="E73" s="1142" t="s">
        <v>87</v>
      </c>
      <c r="F73" s="1143" t="s">
        <v>191</v>
      </c>
      <c r="G73" s="1143"/>
      <c r="H73" s="1144">
        <v>50131</v>
      </c>
      <c r="I73" s="1145">
        <f t="shared" si="18"/>
        <v>0</v>
      </c>
      <c r="J73" s="773">
        <f>+'[2]Maturity Profile (Eng)'!J73</f>
        <v>0</v>
      </c>
      <c r="K73" s="773">
        <f>+'[2]Maturity Profile (Eng)'!K73</f>
        <v>0</v>
      </c>
      <c r="L73" s="773">
        <f>+'[2]Maturity Profile (Eng)'!L73</f>
        <v>0</v>
      </c>
      <c r="M73" s="773">
        <f>+'[2]Maturity Profile (Eng)'!M73</f>
        <v>0</v>
      </c>
      <c r="N73" s="773">
        <f>+'[2]Maturity Profile (Eng)'!N73</f>
        <v>0</v>
      </c>
      <c r="O73" s="773">
        <f>+'[2]Maturity Profile (Eng)'!O73</f>
        <v>0</v>
      </c>
      <c r="P73" s="773">
        <f>+'[2]Maturity Profile (Eng)'!P73</f>
        <v>0</v>
      </c>
      <c r="Q73" s="773">
        <f>+'[2]Maturity Profile (Eng)'!Q73</f>
        <v>0</v>
      </c>
      <c r="R73" s="773">
        <f>+'[2]Maturity Profile (Eng)'!R73</f>
        <v>0</v>
      </c>
      <c r="S73" s="773">
        <f>+'[2]Maturity Profile (Eng)'!S73</f>
        <v>0</v>
      </c>
      <c r="T73" s="773">
        <f>+'[2]Maturity Profile (Eng)'!T73</f>
        <v>0</v>
      </c>
      <c r="U73" s="773">
        <f>+'[2]Maturity Profile (Eng)'!U73</f>
        <v>0</v>
      </c>
      <c r="V73" s="773">
        <f>+'[2]Maturity Profile (Eng)'!V73</f>
        <v>0</v>
      </c>
      <c r="W73" s="773">
        <f>+'[2]Maturity Profile (Eng)'!W73</f>
        <v>0</v>
      </c>
      <c r="X73" s="773">
        <f>+'[2]Maturity Profile (Eng)'!X73</f>
        <v>0</v>
      </c>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row>
    <row r="74" spans="2:73" s="37" customFormat="1">
      <c r="B74" s="1141"/>
      <c r="C74" s="1142"/>
      <c r="D74" s="1142"/>
      <c r="E74" s="1142" t="s">
        <v>90</v>
      </c>
      <c r="F74" s="1143" t="s">
        <v>193</v>
      </c>
      <c r="G74" s="1143"/>
      <c r="H74" s="1144">
        <v>50132</v>
      </c>
      <c r="I74" s="1145">
        <f t="shared" si="18"/>
        <v>0</v>
      </c>
      <c r="J74" s="773">
        <f>+'[2]Maturity Profile (Eng)'!J74</f>
        <v>0</v>
      </c>
      <c r="K74" s="773">
        <f>+'[2]Maturity Profile (Eng)'!K74</f>
        <v>0</v>
      </c>
      <c r="L74" s="773">
        <f>+'[2]Maturity Profile (Eng)'!L74</f>
        <v>0</v>
      </c>
      <c r="M74" s="773">
        <f>+'[2]Maturity Profile (Eng)'!M74</f>
        <v>0</v>
      </c>
      <c r="N74" s="773">
        <f>+'[2]Maturity Profile (Eng)'!N74</f>
        <v>0</v>
      </c>
      <c r="O74" s="773">
        <f>+'[2]Maturity Profile (Eng)'!O74</f>
        <v>0</v>
      </c>
      <c r="P74" s="773">
        <f>+'[2]Maturity Profile (Eng)'!P74</f>
        <v>0</v>
      </c>
      <c r="Q74" s="773">
        <f>+'[2]Maturity Profile (Eng)'!Q74</f>
        <v>0</v>
      </c>
      <c r="R74" s="773">
        <f>+'[2]Maturity Profile (Eng)'!R74</f>
        <v>0</v>
      </c>
      <c r="S74" s="773">
        <f>+'[2]Maturity Profile (Eng)'!S74</f>
        <v>0</v>
      </c>
      <c r="T74" s="773">
        <f>+'[2]Maturity Profile (Eng)'!T74</f>
        <v>0</v>
      </c>
      <c r="U74" s="773">
        <f>+'[2]Maturity Profile (Eng)'!U74</f>
        <v>0</v>
      </c>
      <c r="V74" s="773">
        <f>+'[2]Maturity Profile (Eng)'!V74</f>
        <v>0</v>
      </c>
      <c r="W74" s="773">
        <f>+'[2]Maturity Profile (Eng)'!W74</f>
        <v>0</v>
      </c>
      <c r="X74" s="773">
        <f>+'[2]Maturity Profile (Eng)'!X74</f>
        <v>0</v>
      </c>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row>
    <row r="75" spans="2:73" s="37" customFormat="1">
      <c r="B75" s="1141"/>
      <c r="C75" s="1143"/>
      <c r="D75" s="1142" t="s">
        <v>210</v>
      </c>
      <c r="E75" s="1143" t="s">
        <v>101</v>
      </c>
      <c r="F75" s="1143"/>
      <c r="G75" s="1143"/>
      <c r="H75" s="1144">
        <v>50190</v>
      </c>
      <c r="I75" s="1145">
        <f t="shared" si="18"/>
        <v>0</v>
      </c>
      <c r="J75" s="773">
        <f>+'[2]Maturity Profile (Eng)'!J75</f>
        <v>0</v>
      </c>
      <c r="K75" s="773">
        <f>+'[2]Maturity Profile (Eng)'!K75</f>
        <v>0</v>
      </c>
      <c r="L75" s="773">
        <f>+'[2]Maturity Profile (Eng)'!L75</f>
        <v>0</v>
      </c>
      <c r="M75" s="773">
        <f>+'[2]Maturity Profile (Eng)'!M75</f>
        <v>0</v>
      </c>
      <c r="N75" s="773">
        <f>+'[2]Maturity Profile (Eng)'!N75</f>
        <v>0</v>
      </c>
      <c r="O75" s="773">
        <f>+'[2]Maturity Profile (Eng)'!O75</f>
        <v>0</v>
      </c>
      <c r="P75" s="773">
        <f>+'[2]Maturity Profile (Eng)'!P75</f>
        <v>0</v>
      </c>
      <c r="Q75" s="773">
        <f>+'[2]Maturity Profile (Eng)'!Q75</f>
        <v>0</v>
      </c>
      <c r="R75" s="773">
        <f>+'[2]Maturity Profile (Eng)'!R75</f>
        <v>0</v>
      </c>
      <c r="S75" s="773">
        <f>+'[2]Maturity Profile (Eng)'!S75</f>
        <v>0</v>
      </c>
      <c r="T75" s="773">
        <f>+'[2]Maturity Profile (Eng)'!T75</f>
        <v>0</v>
      </c>
      <c r="U75" s="773">
        <f>+'[2]Maturity Profile (Eng)'!U75</f>
        <v>0</v>
      </c>
      <c r="V75" s="773">
        <f>+'[2]Maturity Profile (Eng)'!V75</f>
        <v>0</v>
      </c>
      <c r="W75" s="773">
        <f>+'[2]Maturity Profile (Eng)'!W75</f>
        <v>0</v>
      </c>
      <c r="X75" s="773">
        <f>+'[2]Maturity Profile (Eng)'!X75</f>
        <v>0</v>
      </c>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row>
    <row r="76" spans="2:73" s="37" customFormat="1">
      <c r="B76" s="1148"/>
      <c r="C76" s="1149" t="s">
        <v>73</v>
      </c>
      <c r="D76" s="1150" t="s">
        <v>212</v>
      </c>
      <c r="E76" s="1150"/>
      <c r="F76" s="1150"/>
      <c r="G76" s="1150"/>
      <c r="H76" s="768">
        <v>50200</v>
      </c>
      <c r="I76" s="771">
        <f t="shared" si="18"/>
        <v>37991</v>
      </c>
      <c r="J76" s="773">
        <f>+'[2]Maturity Profile (Eng)'!J76</f>
        <v>37990.588210000002</v>
      </c>
      <c r="K76" s="773">
        <f>+'[2]Maturity Profile (Eng)'!K76</f>
        <v>0</v>
      </c>
      <c r="L76" s="773">
        <f>+'[2]Maturity Profile (Eng)'!L76</f>
        <v>0</v>
      </c>
      <c r="M76" s="773">
        <f>+'[2]Maturity Profile (Eng)'!M76</f>
        <v>0</v>
      </c>
      <c r="N76" s="773">
        <f>+'[2]Maturity Profile (Eng)'!N76</f>
        <v>0</v>
      </c>
      <c r="O76" s="773">
        <f>+'[2]Maturity Profile (Eng)'!O76</f>
        <v>0</v>
      </c>
      <c r="P76" s="773">
        <f>+'[2]Maturity Profile (Eng)'!P76</f>
        <v>0</v>
      </c>
      <c r="Q76" s="773">
        <f>+'[2]Maturity Profile (Eng)'!Q76</f>
        <v>0</v>
      </c>
      <c r="R76" s="773">
        <f>+'[2]Maturity Profile (Eng)'!R76</f>
        <v>0</v>
      </c>
      <c r="S76" s="773">
        <f>+'[2]Maturity Profile (Eng)'!S76</f>
        <v>0</v>
      </c>
      <c r="T76" s="773">
        <f>+'[2]Maturity Profile (Eng)'!T76</f>
        <v>0</v>
      </c>
      <c r="U76" s="773">
        <f>+'[2]Maturity Profile (Eng)'!U76</f>
        <v>0</v>
      </c>
      <c r="V76" s="773">
        <f>+'[2]Maturity Profile (Eng)'!V76</f>
        <v>0</v>
      </c>
      <c r="W76" s="773">
        <f>+'[2]Maturity Profile (Eng)'!W76</f>
        <v>0</v>
      </c>
      <c r="X76" s="773">
        <f>+'[2]Maturity Profile (Eng)'!X76</f>
        <v>0</v>
      </c>
      <c r="Y76" s="27" t="s">
        <v>267</v>
      </c>
      <c r="Z76" s="25" t="s">
        <v>285</v>
      </c>
      <c r="AA76" s="27"/>
      <c r="AB76" s="27"/>
      <c r="AC76" s="27"/>
      <c r="AD76" s="27"/>
      <c r="AE76" s="27"/>
      <c r="AF76" s="27">
        <f>(27722440.01+515444.64)/1000</f>
        <v>28237.884650000004</v>
      </c>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row>
    <row r="77" spans="2:73" ht="9" customHeight="1" thickBot="1">
      <c r="B77" s="777"/>
      <c r="C77" s="778"/>
      <c r="D77" s="778"/>
      <c r="E77" s="778"/>
      <c r="F77" s="778"/>
      <c r="G77" s="778"/>
      <c r="H77" s="779"/>
      <c r="I77" s="780"/>
      <c r="J77" s="781"/>
      <c r="K77" s="781"/>
      <c r="L77" s="781"/>
      <c r="M77" s="781"/>
      <c r="N77" s="781"/>
      <c r="O77" s="781"/>
      <c r="P77" s="254"/>
      <c r="Q77" s="254"/>
      <c r="R77" s="254"/>
      <c r="S77" s="254"/>
      <c r="T77" s="254"/>
      <c r="U77" s="254"/>
      <c r="V77" s="254"/>
      <c r="W77" s="254"/>
      <c r="X77" s="254"/>
    </row>
    <row r="78" spans="2:73" ht="15.75" thickBot="1">
      <c r="B78" s="349" t="s">
        <v>253</v>
      </c>
      <c r="C78" s="350"/>
      <c r="D78" s="350"/>
      <c r="E78" s="350"/>
      <c r="F78" s="350"/>
      <c r="G78" s="350"/>
      <c r="H78" s="351">
        <v>60000</v>
      </c>
      <c r="I78" s="238">
        <f>ROUND(SUM(J78:X78),0)</f>
        <v>0</v>
      </c>
      <c r="J78" s="255">
        <f>+J59-J68</f>
        <v>0</v>
      </c>
      <c r="K78" s="255">
        <f t="shared" ref="K78:X78" si="22">+K59-K68</f>
        <v>0</v>
      </c>
      <c r="L78" s="255">
        <f t="shared" si="22"/>
        <v>0</v>
      </c>
      <c r="M78" s="256">
        <f t="shared" si="22"/>
        <v>0</v>
      </c>
      <c r="N78" s="255">
        <f t="shared" si="22"/>
        <v>0</v>
      </c>
      <c r="O78" s="256">
        <f t="shared" si="22"/>
        <v>0</v>
      </c>
      <c r="P78" s="257">
        <f t="shared" si="22"/>
        <v>0</v>
      </c>
      <c r="Q78" s="257">
        <f t="shared" si="22"/>
        <v>0</v>
      </c>
      <c r="R78" s="257">
        <f t="shared" si="22"/>
        <v>0</v>
      </c>
      <c r="S78" s="257">
        <f t="shared" si="22"/>
        <v>0</v>
      </c>
      <c r="T78" s="257">
        <f t="shared" si="22"/>
        <v>0</v>
      </c>
      <c r="U78" s="257">
        <f t="shared" si="22"/>
        <v>0</v>
      </c>
      <c r="V78" s="257">
        <f t="shared" si="22"/>
        <v>0</v>
      </c>
      <c r="W78" s="257">
        <f t="shared" si="22"/>
        <v>0</v>
      </c>
      <c r="X78" s="258">
        <f t="shared" si="22"/>
        <v>0</v>
      </c>
    </row>
    <row r="79" spans="2:73" ht="15.75" thickBot="1">
      <c r="B79" s="325"/>
      <c r="C79" s="356"/>
      <c r="D79" s="356"/>
      <c r="E79" s="325"/>
      <c r="F79" s="325"/>
      <c r="G79" s="325"/>
      <c r="H79" s="334"/>
      <c r="I79" s="259"/>
      <c r="J79" s="245"/>
      <c r="K79" s="245"/>
      <c r="L79" s="245"/>
      <c r="M79" s="245"/>
      <c r="N79" s="245"/>
      <c r="O79" s="245"/>
      <c r="P79" s="260"/>
      <c r="Q79" s="260"/>
      <c r="R79" s="260"/>
      <c r="S79" s="260"/>
      <c r="T79" s="260"/>
      <c r="U79" s="260"/>
      <c r="V79" s="260"/>
      <c r="W79" s="260"/>
      <c r="X79" s="260"/>
    </row>
    <row r="80" spans="2:73" s="36" customFormat="1" ht="15.75" thickBot="1">
      <c r="B80" s="349" t="s">
        <v>217</v>
      </c>
      <c r="C80" s="350"/>
      <c r="D80" s="350"/>
      <c r="E80" s="350"/>
      <c r="F80" s="350"/>
      <c r="G80" s="350"/>
      <c r="H80" s="351">
        <v>70000</v>
      </c>
      <c r="I80" s="238">
        <v>0</v>
      </c>
      <c r="J80" s="255">
        <f t="shared" ref="J80:X80" si="23">+J56+J78</f>
        <v>129718</v>
      </c>
      <c r="K80" s="255">
        <f t="shared" si="23"/>
        <v>39318</v>
      </c>
      <c r="L80" s="255">
        <f t="shared" si="23"/>
        <v>-43183</v>
      </c>
      <c r="M80" s="256">
        <f t="shared" si="23"/>
        <v>2066</v>
      </c>
      <c r="N80" s="255">
        <f t="shared" si="23"/>
        <v>30627</v>
      </c>
      <c r="O80" s="256">
        <f t="shared" si="23"/>
        <v>47975</v>
      </c>
      <c r="P80" s="257">
        <f t="shared" si="23"/>
        <v>122252</v>
      </c>
      <c r="Q80" s="257">
        <f t="shared" si="23"/>
        <v>262744</v>
      </c>
      <c r="R80" s="257">
        <f t="shared" si="23"/>
        <v>43258</v>
      </c>
      <c r="S80" s="257">
        <f t="shared" si="23"/>
        <v>-10648</v>
      </c>
      <c r="T80" s="257">
        <f t="shared" si="23"/>
        <v>138032</v>
      </c>
      <c r="U80" s="257">
        <f t="shared" si="23"/>
        <v>73707</v>
      </c>
      <c r="V80" s="257">
        <f t="shared" si="23"/>
        <v>0</v>
      </c>
      <c r="W80" s="257">
        <f t="shared" si="23"/>
        <v>0</v>
      </c>
      <c r="X80" s="258">
        <f t="shared" si="23"/>
        <v>3210</v>
      </c>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row>
    <row r="81" spans="2:73" s="36" customFormat="1" ht="9.75" customHeight="1" thickBot="1">
      <c r="B81" s="358"/>
      <c r="C81" s="325"/>
      <c r="D81" s="325"/>
      <c r="E81" s="325"/>
      <c r="F81" s="325"/>
      <c r="G81" s="325"/>
      <c r="H81" s="334"/>
      <c r="I81" s="261"/>
      <c r="J81" s="262"/>
      <c r="K81" s="262"/>
      <c r="L81" s="262"/>
      <c r="M81" s="262"/>
      <c r="N81" s="262"/>
      <c r="O81" s="262"/>
      <c r="P81" s="263"/>
      <c r="Q81" s="263"/>
      <c r="R81" s="263"/>
      <c r="S81" s="263"/>
      <c r="T81" s="263"/>
      <c r="U81" s="263"/>
      <c r="V81" s="263"/>
      <c r="W81" s="263"/>
      <c r="X81" s="263"/>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row>
    <row r="82" spans="2:73" ht="15.75" thickBot="1">
      <c r="B82" s="349" t="s">
        <v>218</v>
      </c>
      <c r="C82" s="350"/>
      <c r="D82" s="350"/>
      <c r="E82" s="350"/>
      <c r="F82" s="350"/>
      <c r="G82" s="360"/>
      <c r="H82" s="351">
        <v>80000</v>
      </c>
      <c r="I82" s="238">
        <f>+I80</f>
        <v>0</v>
      </c>
      <c r="J82" s="255">
        <f t="shared" ref="J82:X82" si="24">+I82+J80</f>
        <v>129718</v>
      </c>
      <c r="K82" s="255">
        <f t="shared" si="24"/>
        <v>169036</v>
      </c>
      <c r="L82" s="255">
        <f t="shared" si="24"/>
        <v>125853</v>
      </c>
      <c r="M82" s="255">
        <f t="shared" si="24"/>
        <v>127919</v>
      </c>
      <c r="N82" s="255">
        <f t="shared" si="24"/>
        <v>158546</v>
      </c>
      <c r="O82" s="255">
        <f t="shared" si="24"/>
        <v>206521</v>
      </c>
      <c r="P82" s="264">
        <f t="shared" si="24"/>
        <v>328773</v>
      </c>
      <c r="Q82" s="264">
        <f t="shared" si="24"/>
        <v>591517</v>
      </c>
      <c r="R82" s="264">
        <f t="shared" si="24"/>
        <v>634775</v>
      </c>
      <c r="S82" s="264">
        <f t="shared" si="24"/>
        <v>624127</v>
      </c>
      <c r="T82" s="264">
        <f t="shared" si="24"/>
        <v>762159</v>
      </c>
      <c r="U82" s="264">
        <f t="shared" si="24"/>
        <v>835866</v>
      </c>
      <c r="V82" s="264">
        <f t="shared" si="24"/>
        <v>835866</v>
      </c>
      <c r="W82" s="264">
        <f t="shared" si="24"/>
        <v>835866</v>
      </c>
      <c r="X82" s="264">
        <f t="shared" si="24"/>
        <v>839076</v>
      </c>
    </row>
    <row r="83" spans="2:73">
      <c r="B83" s="362"/>
      <c r="C83" s="362"/>
      <c r="D83" s="362"/>
      <c r="E83" s="362"/>
      <c r="F83" s="362"/>
      <c r="G83" s="362"/>
      <c r="H83" s="363"/>
      <c r="I83" s="364"/>
      <c r="J83" s="362"/>
      <c r="K83" s="362"/>
      <c r="L83" s="362"/>
      <c r="M83" s="362"/>
      <c r="N83" s="362"/>
      <c r="O83" s="362"/>
      <c r="P83" s="362"/>
      <c r="Q83" s="362"/>
      <c r="R83" s="362"/>
      <c r="S83" s="362"/>
      <c r="T83" s="362"/>
      <c r="U83" s="362"/>
      <c r="V83" s="362"/>
      <c r="W83" s="362"/>
      <c r="X83" s="362"/>
    </row>
    <row r="85" spans="2:73" s="37" customFormat="1" ht="31.5" customHeight="1">
      <c r="C85" s="226" t="s">
        <v>219</v>
      </c>
      <c r="D85" s="1247" t="s">
        <v>220</v>
      </c>
      <c r="E85" s="1247"/>
      <c r="F85" s="1247"/>
      <c r="G85" s="1247"/>
      <c r="H85" s="1247"/>
      <c r="I85" s="1247"/>
      <c r="J85" s="1247"/>
      <c r="K85" s="1247"/>
      <c r="L85" s="1247"/>
      <c r="P85" s="1171"/>
      <c r="Q85" s="1171"/>
      <c r="R85" s="1171"/>
      <c r="S85" s="1171"/>
      <c r="T85" s="1171"/>
      <c r="U85" s="1233" t="s">
        <v>254</v>
      </c>
      <c r="V85" s="1233"/>
      <c r="W85" s="1233"/>
      <c r="X85" s="1233"/>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row>
    <row r="86" spans="2:73" s="37" customFormat="1" ht="16.5">
      <c r="C86" s="226" t="s">
        <v>221</v>
      </c>
      <c r="D86" s="37" t="s">
        <v>222</v>
      </c>
      <c r="H86" s="365"/>
      <c r="I86" s="366"/>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row>
    <row r="87" spans="2:73" s="37" customFormat="1" ht="16.5">
      <c r="C87" s="226" t="s">
        <v>223</v>
      </c>
      <c r="D87" s="37" t="s">
        <v>224</v>
      </c>
      <c r="H87" s="365"/>
      <c r="I87" s="366"/>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row>
    <row r="88" spans="2:73" s="37" customFormat="1" ht="16.5">
      <c r="C88" s="226" t="s">
        <v>225</v>
      </c>
      <c r="D88" s="37" t="s">
        <v>226</v>
      </c>
      <c r="H88" s="365"/>
      <c r="I88" s="366"/>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row>
    <row r="89" spans="2:73" s="37" customFormat="1" ht="16.5">
      <c r="C89" s="226" t="s">
        <v>227</v>
      </c>
      <c r="D89" s="37" t="s">
        <v>228</v>
      </c>
      <c r="H89" s="365"/>
      <c r="I89" s="366"/>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row>
    <row r="90" spans="2:73" s="37" customFormat="1" ht="16.5">
      <c r="C90" s="226" t="s">
        <v>229</v>
      </c>
      <c r="D90" s="37" t="s">
        <v>230</v>
      </c>
      <c r="H90" s="365"/>
      <c r="I90" s="366"/>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row>
    <row r="92" spans="2:73">
      <c r="C92" s="367" t="s">
        <v>255</v>
      </c>
    </row>
    <row r="97" spans="2:73" ht="15.75" thickBot="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row>
    <row r="98" spans="2:73" ht="51.75" customHeight="1" thickBot="1">
      <c r="B98" s="368" t="s">
        <v>256</v>
      </c>
      <c r="C98" s="350"/>
      <c r="D98" s="350"/>
      <c r="E98" s="350"/>
      <c r="F98" s="350"/>
      <c r="G98" s="369"/>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row>
    <row r="99" spans="2:73" ht="15" customHeight="1">
      <c r="B99" s="370" t="s">
        <v>231</v>
      </c>
      <c r="C99" s="1246" t="s">
        <v>257</v>
      </c>
      <c r="D99" s="1246"/>
      <c r="E99" s="1246"/>
      <c r="F99" s="1246"/>
      <c r="G99" s="1246"/>
      <c r="H99" s="37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row>
    <row r="100" spans="2:73" ht="51.75" customHeight="1">
      <c r="B100" s="37"/>
      <c r="C100" s="1247"/>
      <c r="D100" s="1247"/>
      <c r="E100" s="1247"/>
      <c r="F100" s="1247"/>
      <c r="G100" s="1247"/>
      <c r="H100" s="37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row>
    <row r="101" spans="2:73">
      <c r="B101" s="37"/>
      <c r="C101" s="1247"/>
      <c r="D101" s="1247"/>
      <c r="E101" s="1247"/>
      <c r="F101" s="1247"/>
      <c r="G101" s="1247"/>
      <c r="H101" s="37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row>
    <row r="102" spans="2:73">
      <c r="B102" s="37"/>
      <c r="C102" s="1247"/>
      <c r="D102" s="1247"/>
      <c r="E102" s="1247"/>
      <c r="F102" s="1247"/>
      <c r="G102" s="1247"/>
      <c r="H102" s="37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row>
    <row r="103" spans="2:73" ht="54" customHeight="1">
      <c r="B103" s="370" t="s">
        <v>231</v>
      </c>
      <c r="C103" s="1247" t="s">
        <v>258</v>
      </c>
      <c r="D103" s="1247"/>
      <c r="E103" s="1247"/>
      <c r="F103" s="1247"/>
      <c r="G103" s="1247"/>
      <c r="H103" s="371"/>
      <c r="I103" s="372"/>
      <c r="J103" s="373"/>
      <c r="K103" s="373"/>
      <c r="L103" s="373"/>
      <c r="M103" s="373"/>
      <c r="N103" s="373"/>
      <c r="O103" s="373"/>
      <c r="P103" s="373"/>
      <c r="Q103" s="373"/>
      <c r="R103" s="373"/>
      <c r="S103" s="373"/>
      <c r="T103" s="373"/>
      <c r="U103" s="373"/>
      <c r="V103" s="373"/>
      <c r="W103" s="373"/>
      <c r="X103" s="373"/>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row>
    <row r="104" spans="2:73">
      <c r="B104" s="37"/>
      <c r="C104" s="1247"/>
      <c r="D104" s="1247"/>
      <c r="E104" s="1247"/>
      <c r="F104" s="1247"/>
      <c r="G104" s="1247"/>
      <c r="H104" s="371"/>
      <c r="I104" s="372"/>
      <c r="J104" s="373"/>
      <c r="K104" s="373"/>
      <c r="L104" s="373"/>
      <c r="M104" s="373"/>
      <c r="N104" s="373"/>
      <c r="O104" s="373"/>
      <c r="P104" s="373"/>
      <c r="Q104" s="373"/>
      <c r="R104" s="373"/>
      <c r="S104" s="373"/>
      <c r="T104" s="373"/>
      <c r="U104" s="373"/>
      <c r="V104" s="373"/>
      <c r="W104" s="373"/>
      <c r="X104" s="373"/>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row>
    <row r="105" spans="2:73">
      <c r="B105" s="37"/>
      <c r="C105" s="1247"/>
      <c r="D105" s="1247"/>
      <c r="E105" s="1247"/>
      <c r="F105" s="1247"/>
      <c r="G105" s="1247"/>
      <c r="H105" s="371"/>
      <c r="I105" s="372"/>
      <c r="J105" s="373"/>
      <c r="K105" s="373"/>
      <c r="L105" s="373"/>
      <c r="M105" s="373"/>
      <c r="N105" s="373"/>
      <c r="O105" s="373"/>
      <c r="P105" s="373"/>
      <c r="Q105" s="373"/>
      <c r="R105" s="373"/>
      <c r="S105" s="373"/>
      <c r="T105" s="373"/>
      <c r="U105" s="373"/>
      <c r="V105" s="373"/>
      <c r="W105" s="373"/>
      <c r="X105" s="373"/>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row>
    <row r="106" spans="2:73">
      <c r="B106" s="37"/>
      <c r="C106" s="1247"/>
      <c r="D106" s="1247"/>
      <c r="E106" s="1247"/>
      <c r="F106" s="1247"/>
      <c r="G106" s="1247"/>
      <c r="H106" s="371"/>
      <c r="I106" s="372"/>
      <c r="J106" s="373"/>
      <c r="K106" s="373"/>
      <c r="L106" s="373"/>
      <c r="M106" s="373"/>
      <c r="N106" s="373"/>
      <c r="O106" s="373"/>
      <c r="P106" s="373"/>
      <c r="Q106" s="373"/>
      <c r="R106" s="373"/>
      <c r="S106" s="373"/>
      <c r="T106" s="373"/>
      <c r="U106" s="373"/>
      <c r="V106" s="373"/>
      <c r="W106" s="373"/>
      <c r="X106" s="373"/>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row>
    <row r="107" spans="2:73" ht="8.25" customHeight="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row>
    <row r="108" spans="2:73" ht="15" customHeight="1">
      <c r="B108" s="374" t="s">
        <v>231</v>
      </c>
      <c r="C108" s="1247" t="s">
        <v>259</v>
      </c>
      <c r="D108" s="1247"/>
      <c r="E108" s="1247"/>
      <c r="F108" s="1247"/>
      <c r="G108" s="1247"/>
      <c r="H108" s="37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row>
    <row r="109" spans="2:73" ht="14.25" customHeight="1">
      <c r="C109" s="1247"/>
      <c r="D109" s="1247"/>
      <c r="E109" s="1247"/>
      <c r="F109" s="1247"/>
      <c r="G109" s="1247"/>
      <c r="H109" s="37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row>
    <row r="110" spans="2:73" ht="14.25" customHeight="1">
      <c r="C110" s="1247"/>
      <c r="D110" s="1247"/>
      <c r="E110" s="1247"/>
      <c r="F110" s="1247"/>
      <c r="G110" s="1247"/>
      <c r="H110" s="37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row>
    <row r="111" spans="2:73" ht="14.25" customHeight="1">
      <c r="C111" s="1247"/>
      <c r="D111" s="1247"/>
      <c r="E111" s="1247"/>
      <c r="F111" s="1247"/>
      <c r="G111" s="1247"/>
      <c r="H111" s="37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row>
    <row r="112" spans="2:73" ht="14.25" customHeight="1">
      <c r="C112" s="1247"/>
      <c r="D112" s="1247"/>
      <c r="E112" s="1247"/>
      <c r="F112" s="1247"/>
      <c r="G112" s="1247"/>
      <c r="H112" s="37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row>
    <row r="113" spans="3:73" s="32" customFormat="1" ht="14.25" customHeight="1">
      <c r="C113" s="1247"/>
      <c r="D113" s="1247"/>
      <c r="E113" s="1247"/>
      <c r="F113" s="1247"/>
      <c r="G113" s="1247"/>
      <c r="H113" s="371"/>
      <c r="J113" s="31"/>
      <c r="K113" s="31"/>
      <c r="L113" s="31"/>
      <c r="M113" s="31"/>
      <c r="N113" s="31"/>
      <c r="O113" s="31"/>
      <c r="P113" s="31"/>
      <c r="Q113" s="31"/>
      <c r="R113" s="31"/>
      <c r="S113" s="31"/>
      <c r="T113" s="31"/>
      <c r="U113" s="31"/>
      <c r="V113" s="31"/>
      <c r="W113" s="31"/>
      <c r="X113" s="31"/>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row>
    <row r="114" spans="3:73" s="32" customFormat="1" ht="14.25" customHeight="1">
      <c r="C114" s="1247"/>
      <c r="D114" s="1247"/>
      <c r="E114" s="1247"/>
      <c r="F114" s="1247"/>
      <c r="G114" s="1247"/>
      <c r="H114" s="371"/>
      <c r="J114" s="31"/>
      <c r="K114" s="31"/>
      <c r="L114" s="31"/>
      <c r="M114" s="31"/>
      <c r="N114" s="31"/>
      <c r="O114" s="31"/>
      <c r="P114" s="31"/>
      <c r="Q114" s="31"/>
      <c r="R114" s="31"/>
      <c r="S114" s="31"/>
      <c r="T114" s="31"/>
      <c r="U114" s="31"/>
      <c r="V114" s="31"/>
      <c r="W114" s="31"/>
      <c r="X114" s="31"/>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row>
    <row r="115" spans="3:73" s="32" customFormat="1" ht="14.25" customHeight="1">
      <c r="C115" s="1247"/>
      <c r="D115" s="1247"/>
      <c r="E115" s="1247"/>
      <c r="F115" s="1247"/>
      <c r="G115" s="1247"/>
      <c r="H115" s="371"/>
      <c r="J115" s="31"/>
      <c r="K115" s="31"/>
      <c r="L115" s="31"/>
      <c r="M115" s="31"/>
      <c r="N115" s="31"/>
      <c r="O115" s="31"/>
      <c r="P115" s="31"/>
      <c r="Q115" s="31"/>
      <c r="R115" s="31"/>
      <c r="S115" s="31"/>
      <c r="T115" s="31"/>
      <c r="U115" s="31"/>
      <c r="V115" s="31"/>
      <c r="W115" s="31"/>
      <c r="X115" s="31"/>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row>
    <row r="116" spans="3:73" s="32" customFormat="1" ht="14.25" customHeight="1">
      <c r="C116" s="1247"/>
      <c r="D116" s="1247"/>
      <c r="E116" s="1247"/>
      <c r="F116" s="1247"/>
      <c r="G116" s="1247"/>
      <c r="H116" s="371"/>
      <c r="J116" s="31"/>
      <c r="K116" s="31"/>
      <c r="L116" s="31"/>
      <c r="M116" s="31"/>
      <c r="N116" s="31"/>
      <c r="O116" s="31"/>
      <c r="P116" s="31"/>
      <c r="Q116" s="31"/>
      <c r="R116" s="31"/>
      <c r="S116" s="31"/>
      <c r="T116" s="31"/>
      <c r="U116" s="31"/>
      <c r="V116" s="31"/>
      <c r="W116" s="31"/>
      <c r="X116" s="31"/>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row>
    <row r="117" spans="3:73" s="32" customFormat="1">
      <c r="C117" s="1247"/>
      <c r="D117" s="1247"/>
      <c r="E117" s="1247"/>
      <c r="F117" s="1247"/>
      <c r="G117" s="1247"/>
      <c r="H117" s="371"/>
      <c r="J117" s="31"/>
      <c r="K117" s="31"/>
      <c r="L117" s="31"/>
      <c r="M117" s="31"/>
      <c r="N117" s="31"/>
      <c r="O117" s="31"/>
      <c r="P117" s="31"/>
      <c r="Q117" s="31"/>
      <c r="R117" s="31"/>
      <c r="S117" s="31"/>
      <c r="T117" s="31"/>
      <c r="U117" s="31"/>
      <c r="V117" s="31"/>
      <c r="W117" s="31"/>
      <c r="X117" s="31"/>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row>
    <row r="119" spans="3:73" s="32" customFormat="1">
      <c r="C119" s="37" t="s">
        <v>260</v>
      </c>
      <c r="D119" s="373"/>
      <c r="E119" s="373"/>
      <c r="F119" s="373"/>
      <c r="G119" s="373"/>
      <c r="H119" s="371"/>
      <c r="J119" s="31"/>
      <c r="K119" s="31"/>
      <c r="L119" s="31"/>
      <c r="M119" s="31"/>
      <c r="N119" s="31"/>
      <c r="O119" s="31"/>
      <c r="P119" s="31"/>
      <c r="Q119" s="31"/>
      <c r="R119" s="31"/>
      <c r="S119" s="31"/>
      <c r="T119" s="31"/>
      <c r="U119" s="31"/>
      <c r="V119" s="31"/>
      <c r="W119" s="31"/>
      <c r="X119" s="31"/>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row>
    <row r="120" spans="3:73" s="32" customFormat="1">
      <c r="C120" s="37" t="s">
        <v>261</v>
      </c>
      <c r="D120" s="373"/>
      <c r="E120" s="373"/>
      <c r="F120" s="373"/>
      <c r="G120" s="373"/>
      <c r="H120" s="371"/>
      <c r="J120" s="31"/>
      <c r="K120" s="31"/>
      <c r="L120" s="31"/>
      <c r="M120" s="31"/>
      <c r="N120" s="31"/>
      <c r="O120" s="31"/>
      <c r="P120" s="31"/>
      <c r="Q120" s="31"/>
      <c r="R120" s="31"/>
      <c r="S120" s="31"/>
      <c r="T120" s="31"/>
      <c r="U120" s="31"/>
      <c r="V120" s="31"/>
      <c r="W120" s="31"/>
      <c r="X120" s="31"/>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row>
    <row r="121" spans="3:73" s="32" customFormat="1" ht="65.25" customHeight="1">
      <c r="C121" s="373"/>
      <c r="D121" s="373"/>
      <c r="E121" s="373"/>
      <c r="F121" s="373"/>
      <c r="G121" s="373"/>
      <c r="H121" s="371"/>
      <c r="J121" s="31"/>
      <c r="K121" s="31"/>
      <c r="L121" s="31"/>
      <c r="M121" s="31"/>
      <c r="N121" s="31"/>
      <c r="O121" s="31"/>
      <c r="P121" s="31"/>
      <c r="Q121" s="31"/>
      <c r="R121" s="31"/>
      <c r="S121" s="31"/>
      <c r="T121" s="31"/>
      <c r="U121" s="31"/>
      <c r="V121" s="31"/>
      <c r="W121" s="31"/>
      <c r="X121" s="31"/>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row>
    <row r="122" spans="3:73" s="32" customFormat="1" ht="65.25" customHeight="1">
      <c r="C122" s="373"/>
      <c r="D122" s="373"/>
      <c r="E122" s="373"/>
      <c r="F122" s="373"/>
      <c r="G122" s="373"/>
      <c r="H122" s="371"/>
      <c r="J122" s="31"/>
      <c r="K122" s="31"/>
      <c r="L122" s="31"/>
      <c r="M122" s="31"/>
      <c r="N122" s="31"/>
      <c r="O122" s="31"/>
      <c r="P122" s="31"/>
      <c r="Q122" s="31"/>
      <c r="R122" s="31"/>
      <c r="S122" s="31"/>
      <c r="T122" s="31"/>
      <c r="U122" s="31"/>
      <c r="V122" s="31"/>
      <c r="W122" s="31"/>
      <c r="X122" s="31"/>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row>
  </sheetData>
  <protectedRanges>
    <protectedRange password="CF66" sqref="I14:I31 I34:I54 I56 I59:I66 I68:I76 I78 I80 I82" name="saldo kolom"/>
  </protectedRanges>
  <mergeCells count="33">
    <mergeCell ref="C13:G13"/>
    <mergeCell ref="E29:G29"/>
    <mergeCell ref="E52:G52"/>
    <mergeCell ref="W11:W12"/>
    <mergeCell ref="D85:L85"/>
    <mergeCell ref="U85:X85"/>
    <mergeCell ref="C99:G102"/>
    <mergeCell ref="C103:G106"/>
    <mergeCell ref="C108:G117"/>
    <mergeCell ref="S11:S12"/>
    <mergeCell ref="W9:X9"/>
    <mergeCell ref="B3:O3"/>
    <mergeCell ref="B4:X4"/>
    <mergeCell ref="B5:X5"/>
    <mergeCell ref="B6:X6"/>
    <mergeCell ref="B7:X7"/>
    <mergeCell ref="J11:J12"/>
    <mergeCell ref="B10:G12"/>
    <mergeCell ref="H10:H12"/>
    <mergeCell ref="K11:K12"/>
    <mergeCell ref="L11:L12"/>
    <mergeCell ref="M11:M12"/>
    <mergeCell ref="I10:I12"/>
    <mergeCell ref="J10:X10"/>
    <mergeCell ref="X11:X12"/>
    <mergeCell ref="N11:N12"/>
    <mergeCell ref="O11:O12"/>
    <mergeCell ref="T11:T12"/>
    <mergeCell ref="U11:U12"/>
    <mergeCell ref="P11:P12"/>
    <mergeCell ref="V11:V12"/>
    <mergeCell ref="Q11:Q12"/>
    <mergeCell ref="R11:R1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39997558519241921"/>
  </sheetPr>
  <dimension ref="A1:BU122"/>
  <sheetViews>
    <sheetView topLeftCell="A7" zoomScale="60" zoomScaleNormal="60" workbookViewId="0">
      <selection activeCell="J32" sqref="J32"/>
    </sheetView>
  </sheetViews>
  <sheetFormatPr defaultRowHeight="15"/>
  <cols>
    <col min="1" max="1" width="4" style="31" customWidth="1"/>
    <col min="2" max="2" width="5.140625" style="31" customWidth="1"/>
    <col min="3" max="4" width="3.7109375" style="31" customWidth="1"/>
    <col min="5" max="5" width="6" style="31" customWidth="1"/>
    <col min="6" max="6" width="2.7109375" style="31" customWidth="1"/>
    <col min="7" max="7" width="55.85546875" style="31" bestFit="1" customWidth="1"/>
    <col min="8" max="8" width="8.5703125" style="265" customWidth="1"/>
    <col min="9" max="9" width="18.140625" style="32" customWidth="1"/>
    <col min="10" max="10" width="16.85546875" style="31" bestFit="1" customWidth="1"/>
    <col min="11" max="11" width="16.5703125" style="31" customWidth="1"/>
    <col min="12" max="15" width="15.7109375" style="31" customWidth="1"/>
    <col min="16" max="24" width="16.7109375" style="31" customWidth="1"/>
    <col min="25" max="73" width="9.140625" style="21"/>
    <col min="74" max="16384" width="9.140625" style="31"/>
  </cols>
  <sheetData>
    <row r="1" spans="1:73" ht="15.75" thickBot="1"/>
    <row r="2" spans="1:73" s="76" customFormat="1" ht="16.5" thickTop="1" thickBot="1">
      <c r="A2" s="33" t="s">
        <v>18</v>
      </c>
      <c r="B2" s="33" t="s">
        <v>19</v>
      </c>
      <c r="C2" s="33" t="s">
        <v>20</v>
      </c>
      <c r="D2" s="33" t="s">
        <v>21</v>
      </c>
      <c r="E2" s="33" t="s">
        <v>22</v>
      </c>
      <c r="F2" s="33" t="s">
        <v>23</v>
      </c>
      <c r="G2" s="33" t="s">
        <v>24</v>
      </c>
      <c r="H2" s="273"/>
      <c r="I2" s="274" t="s">
        <v>25</v>
      </c>
      <c r="J2" s="33" t="s">
        <v>26</v>
      </c>
      <c r="K2" s="33" t="s">
        <v>27</v>
      </c>
      <c r="L2" s="33" t="s">
        <v>28</v>
      </c>
      <c r="M2" s="33" t="s">
        <v>29</v>
      </c>
      <c r="N2" s="33" t="s">
        <v>30</v>
      </c>
      <c r="O2" s="33" t="s">
        <v>31</v>
      </c>
      <c r="P2" s="275"/>
      <c r="Q2" s="275"/>
      <c r="R2" s="275"/>
      <c r="S2" s="275"/>
      <c r="T2" s="275"/>
      <c r="U2" s="275"/>
      <c r="V2" s="275"/>
      <c r="W2" s="275"/>
      <c r="X2" s="275"/>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row>
    <row r="3" spans="1:73" ht="41.25" customHeight="1" thickTop="1">
      <c r="B3" s="1229" t="s">
        <v>235</v>
      </c>
      <c r="C3" s="1229"/>
      <c r="D3" s="1229"/>
      <c r="E3" s="1229"/>
      <c r="F3" s="1229"/>
      <c r="G3" s="1229"/>
      <c r="H3" s="1229"/>
      <c r="I3" s="1229"/>
      <c r="J3" s="1229"/>
      <c r="K3" s="1229"/>
      <c r="L3" s="1229"/>
      <c r="M3" s="1229"/>
      <c r="N3" s="1229"/>
      <c r="O3" s="1229"/>
      <c r="P3" s="375"/>
      <c r="Q3" s="375"/>
      <c r="R3" s="375"/>
      <c r="S3" s="375"/>
      <c r="T3" s="375"/>
      <c r="U3" s="375"/>
      <c r="V3" s="375"/>
      <c r="W3" s="375"/>
      <c r="X3" s="375"/>
    </row>
    <row r="4" spans="1:73" ht="20.25">
      <c r="B4" s="1230" t="s">
        <v>286</v>
      </c>
      <c r="C4" s="1230"/>
      <c r="D4" s="1230"/>
      <c r="E4" s="1230"/>
      <c r="F4" s="1230"/>
      <c r="G4" s="1230"/>
      <c r="H4" s="1230"/>
      <c r="I4" s="1230"/>
      <c r="J4" s="1230"/>
      <c r="K4" s="1230"/>
      <c r="L4" s="1230"/>
      <c r="M4" s="1230"/>
      <c r="N4" s="1230"/>
      <c r="O4" s="1230"/>
      <c r="P4" s="1230"/>
      <c r="Q4" s="1230"/>
      <c r="R4" s="1230"/>
      <c r="S4" s="1230"/>
      <c r="T4" s="1230"/>
      <c r="U4" s="1230"/>
      <c r="V4" s="1230"/>
      <c r="W4" s="1230"/>
      <c r="X4" s="1230"/>
    </row>
    <row r="5" spans="1:73" ht="20.25">
      <c r="B5" s="1230" t="s">
        <v>237</v>
      </c>
      <c r="C5" s="1230"/>
      <c r="D5" s="1230"/>
      <c r="E5" s="1230"/>
      <c r="F5" s="1230"/>
      <c r="G5" s="1230"/>
      <c r="H5" s="1230"/>
      <c r="I5" s="1230"/>
      <c r="J5" s="1230"/>
      <c r="K5" s="1230"/>
      <c r="L5" s="1230"/>
      <c r="M5" s="1230"/>
      <c r="N5" s="1230"/>
      <c r="O5" s="1230"/>
      <c r="P5" s="1230"/>
      <c r="Q5" s="1230"/>
      <c r="R5" s="1230"/>
      <c r="S5" s="1230"/>
      <c r="T5" s="1230"/>
      <c r="U5" s="1230"/>
      <c r="V5" s="1230"/>
      <c r="W5" s="1230"/>
      <c r="X5" s="1230"/>
    </row>
    <row r="6" spans="1:73" ht="20.25">
      <c r="B6" s="1255">
        <v>46203</v>
      </c>
      <c r="C6" s="1230"/>
      <c r="D6" s="1230"/>
      <c r="E6" s="1230"/>
      <c r="F6" s="1230"/>
      <c r="G6" s="1230"/>
      <c r="H6" s="1230"/>
      <c r="I6" s="1230"/>
      <c r="J6" s="1230"/>
      <c r="K6" s="1230"/>
      <c r="L6" s="1230"/>
      <c r="M6" s="1230"/>
      <c r="N6" s="1230"/>
      <c r="O6" s="1230"/>
      <c r="P6" s="1230"/>
      <c r="Q6" s="1230"/>
      <c r="R6" s="1230"/>
      <c r="S6" s="1230"/>
      <c r="T6" s="1230"/>
      <c r="U6" s="1230"/>
      <c r="V6" s="1230"/>
      <c r="W6" s="1230"/>
      <c r="X6" s="1230"/>
    </row>
    <row r="7" spans="1:73" ht="18">
      <c r="B7" s="1232" t="s">
        <v>238</v>
      </c>
      <c r="C7" s="1232"/>
      <c r="D7" s="1232"/>
      <c r="E7" s="1232"/>
      <c r="F7" s="1232"/>
      <c r="G7" s="1232"/>
      <c r="H7" s="1232"/>
      <c r="I7" s="1232"/>
      <c r="J7" s="1232"/>
      <c r="K7" s="1232"/>
      <c r="L7" s="1232"/>
      <c r="M7" s="1232"/>
      <c r="N7" s="1232"/>
      <c r="O7" s="1232"/>
      <c r="P7" s="1232"/>
      <c r="Q7" s="1232"/>
      <c r="R7" s="1232"/>
      <c r="S7" s="1232"/>
      <c r="T7" s="1232"/>
      <c r="U7" s="1232"/>
      <c r="V7" s="1232"/>
      <c r="W7" s="1232"/>
      <c r="X7" s="1232"/>
    </row>
    <row r="8" spans="1:73" ht="15" customHeight="1">
      <c r="B8" s="267"/>
      <c r="C8" s="267"/>
      <c r="D8" s="267"/>
      <c r="E8" s="267"/>
      <c r="F8" s="267"/>
      <c r="G8" s="267"/>
      <c r="H8" s="268"/>
      <c r="I8" s="476">
        <v>1541.5</v>
      </c>
      <c r="J8" s="224" t="s">
        <v>287</v>
      </c>
      <c r="K8" s="224">
        <f>SUM(J14:L14)+SUM(J59:L59)</f>
        <v>37739</v>
      </c>
      <c r="L8" s="225">
        <f>K8-K9</f>
        <v>35212</v>
      </c>
      <c r="M8" s="224"/>
      <c r="N8" s="224"/>
      <c r="O8" s="224"/>
      <c r="P8" s="224"/>
      <c r="Q8" s="267"/>
      <c r="R8" s="267"/>
      <c r="S8" s="267"/>
      <c r="T8" s="267"/>
      <c r="U8" s="267"/>
      <c r="V8" s="267"/>
      <c r="W8" s="267"/>
      <c r="X8" s="267"/>
    </row>
    <row r="9" spans="1:73" ht="15.75" thickBot="1">
      <c r="B9" s="21"/>
      <c r="C9" s="21"/>
      <c r="D9" s="21"/>
      <c r="E9" s="21"/>
      <c r="F9" s="21"/>
      <c r="G9" s="21"/>
      <c r="H9" s="477"/>
      <c r="I9" s="23"/>
      <c r="J9" s="21"/>
      <c r="K9" s="224">
        <f>SUM(J34:L34)+SUM(J68:L68)</f>
        <v>2527</v>
      </c>
      <c r="L9" s="21"/>
      <c r="M9" s="21"/>
      <c r="N9" s="21"/>
      <c r="O9" s="276"/>
      <c r="P9" s="277"/>
      <c r="Q9" s="277"/>
      <c r="R9" s="277"/>
      <c r="S9" s="277"/>
      <c r="T9" s="277"/>
      <c r="U9" s="277"/>
      <c r="V9" s="277"/>
      <c r="W9" s="1228" t="s">
        <v>239</v>
      </c>
      <c r="X9" s="1228"/>
    </row>
    <row r="10" spans="1:73" s="34" customFormat="1" ht="26.25" customHeight="1" thickBot="1">
      <c r="B10" s="1248" t="s">
        <v>40</v>
      </c>
      <c r="C10" s="1249"/>
      <c r="D10" s="1249"/>
      <c r="E10" s="1249"/>
      <c r="F10" s="1249"/>
      <c r="G10" s="1249"/>
      <c r="H10" s="1237" t="s">
        <v>240</v>
      </c>
      <c r="I10" s="1240" t="s">
        <v>241</v>
      </c>
      <c r="J10" s="1243" t="s">
        <v>242</v>
      </c>
      <c r="K10" s="1244"/>
      <c r="L10" s="1244"/>
      <c r="M10" s="1244"/>
      <c r="N10" s="1244"/>
      <c r="O10" s="1244"/>
      <c r="P10" s="1244"/>
      <c r="Q10" s="1244"/>
      <c r="R10" s="1244"/>
      <c r="S10" s="1244"/>
      <c r="T10" s="1244"/>
      <c r="U10" s="1244"/>
      <c r="V10" s="1244"/>
      <c r="W10" s="1244"/>
      <c r="X10" s="1245"/>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row>
    <row r="11" spans="1:73" ht="26.25" customHeight="1">
      <c r="B11" s="1250"/>
      <c r="C11" s="1251"/>
      <c r="D11" s="1251"/>
      <c r="E11" s="1251"/>
      <c r="F11" s="1251"/>
      <c r="G11" s="1251"/>
      <c r="H11" s="1238"/>
      <c r="I11" s="1241"/>
      <c r="J11" s="1224" t="s">
        <v>243</v>
      </c>
      <c r="K11" s="1226" t="s">
        <v>244</v>
      </c>
      <c r="L11" s="1226" t="s">
        <v>245</v>
      </c>
      <c r="M11" s="1226" t="s">
        <v>246</v>
      </c>
      <c r="N11" s="1226" t="s">
        <v>247</v>
      </c>
      <c r="O11" s="1226" t="s">
        <v>248</v>
      </c>
      <c r="P11" s="1222" t="s">
        <v>53</v>
      </c>
      <c r="Q11" s="1222" t="s">
        <v>54</v>
      </c>
      <c r="R11" s="1222" t="s">
        <v>55</v>
      </c>
      <c r="S11" s="1222" t="s">
        <v>56</v>
      </c>
      <c r="T11" s="1222" t="s">
        <v>57</v>
      </c>
      <c r="U11" s="1222" t="s">
        <v>58</v>
      </c>
      <c r="V11" s="1222" t="s">
        <v>59</v>
      </c>
      <c r="W11" s="1222" t="s">
        <v>60</v>
      </c>
      <c r="X11" s="1222" t="s">
        <v>61</v>
      </c>
    </row>
    <row r="12" spans="1:73" ht="26.25" customHeight="1" thickBot="1">
      <c r="B12" s="1252"/>
      <c r="C12" s="1253"/>
      <c r="D12" s="1253"/>
      <c r="E12" s="1253"/>
      <c r="F12" s="1253"/>
      <c r="G12" s="1253"/>
      <c r="H12" s="1239"/>
      <c r="I12" s="1242"/>
      <c r="J12" s="1225"/>
      <c r="K12" s="1227"/>
      <c r="L12" s="1227"/>
      <c r="M12" s="1227"/>
      <c r="N12" s="1227"/>
      <c r="O12" s="1227"/>
      <c r="P12" s="1223"/>
      <c r="Q12" s="1223"/>
      <c r="R12" s="1223"/>
      <c r="S12" s="1223"/>
      <c r="T12" s="1223"/>
      <c r="U12" s="1223"/>
      <c r="V12" s="1223"/>
      <c r="W12" s="1223"/>
      <c r="X12" s="1223"/>
    </row>
    <row r="13" spans="1:73" ht="15" customHeight="1">
      <c r="B13" s="278" t="s">
        <v>63</v>
      </c>
      <c r="C13" s="1234" t="s">
        <v>64</v>
      </c>
      <c r="D13" s="1234"/>
      <c r="E13" s="1234"/>
      <c r="F13" s="1234"/>
      <c r="G13" s="1234"/>
      <c r="H13" s="279"/>
      <c r="I13" s="280"/>
      <c r="J13" s="281"/>
      <c r="K13" s="282"/>
      <c r="L13" s="282"/>
      <c r="M13" s="283"/>
      <c r="N13" s="284"/>
      <c r="O13" s="283"/>
      <c r="P13" s="285"/>
      <c r="Q13" s="286"/>
      <c r="R13" s="286"/>
      <c r="S13" s="286"/>
      <c r="T13" s="286"/>
      <c r="U13" s="286"/>
      <c r="V13" s="286"/>
      <c r="W13" s="286"/>
      <c r="X13" s="286"/>
    </row>
    <row r="14" spans="1:73" s="35" customFormat="1" ht="15.75" thickBot="1">
      <c r="B14" s="745" t="s">
        <v>65</v>
      </c>
      <c r="C14" s="1111" t="s">
        <v>3</v>
      </c>
      <c r="D14" s="1112"/>
      <c r="E14" s="1112"/>
      <c r="F14" s="1112"/>
      <c r="G14" s="1112"/>
      <c r="H14" s="1113">
        <v>10000</v>
      </c>
      <c r="I14" s="782">
        <f>ROUND(SUM(J14:X14),0)</f>
        <v>445137</v>
      </c>
      <c r="J14" s="968">
        <f>ROUND(+J15+J16+J17+J18+J25+J28+J31,0)</f>
        <v>37739</v>
      </c>
      <c r="K14" s="968">
        <f t="shared" ref="K14:X14" si="0">ROUND(+K15+K16+K17+K18+K25+K28+K31,0)</f>
        <v>0</v>
      </c>
      <c r="L14" s="968">
        <f t="shared" si="0"/>
        <v>0</v>
      </c>
      <c r="M14" s="968">
        <f t="shared" si="0"/>
        <v>35867</v>
      </c>
      <c r="N14" s="968">
        <f>ROUND(+N15+N16+N17+N18+N25+N28+N31,0)</f>
        <v>29850</v>
      </c>
      <c r="O14" s="968">
        <f>ROUND(+O15+O16+O17+O18+O25+O28+O31,0)</f>
        <v>32060</v>
      </c>
      <c r="P14" s="968">
        <f t="shared" si="0"/>
        <v>40368</v>
      </c>
      <c r="Q14" s="968">
        <f t="shared" si="0"/>
        <v>74553</v>
      </c>
      <c r="R14" s="968">
        <f t="shared" si="0"/>
        <v>82289</v>
      </c>
      <c r="S14" s="968">
        <f t="shared" si="0"/>
        <v>51608</v>
      </c>
      <c r="T14" s="968">
        <f t="shared" si="0"/>
        <v>17668</v>
      </c>
      <c r="U14" s="968">
        <f t="shared" si="0"/>
        <v>43135</v>
      </c>
      <c r="V14" s="968">
        <f t="shared" si="0"/>
        <v>0</v>
      </c>
      <c r="W14" s="968">
        <f t="shared" si="0"/>
        <v>0</v>
      </c>
      <c r="X14" s="968">
        <f t="shared" si="0"/>
        <v>0</v>
      </c>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row>
    <row r="15" spans="1:73" s="35" customFormat="1" ht="15.75" thickBot="1">
      <c r="B15" s="287"/>
      <c r="C15" s="288" t="s">
        <v>66</v>
      </c>
      <c r="D15" s="289" t="s">
        <v>67</v>
      </c>
      <c r="E15" s="289"/>
      <c r="F15" s="289"/>
      <c r="G15" s="289"/>
      <c r="H15" s="290">
        <v>10100</v>
      </c>
      <c r="I15" s="291">
        <f t="shared" ref="I15:I31" si="1">ROUND(SUM(J15:X15),0)</f>
        <v>264</v>
      </c>
      <c r="J15" s="269">
        <f>((406390234.5/$I$8)/1000)</f>
        <v>263.6329772948427</v>
      </c>
      <c r="K15" s="269"/>
      <c r="L15" s="269"/>
      <c r="M15" s="269"/>
      <c r="N15" s="269"/>
      <c r="O15" s="269"/>
      <c r="P15" s="269"/>
      <c r="Q15" s="269"/>
      <c r="R15" s="269"/>
      <c r="S15" s="269"/>
      <c r="T15" s="269"/>
      <c r="U15" s="269"/>
      <c r="V15" s="269"/>
      <c r="W15" s="269"/>
      <c r="X15" s="269"/>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row>
    <row r="16" spans="1:73" s="35" customFormat="1" ht="15.75" thickBot="1">
      <c r="B16" s="292"/>
      <c r="C16" s="293" t="s">
        <v>73</v>
      </c>
      <c r="D16" s="294" t="s">
        <v>74</v>
      </c>
      <c r="E16" s="294"/>
      <c r="F16" s="294"/>
      <c r="G16" s="294"/>
      <c r="H16" s="290">
        <v>10200</v>
      </c>
      <c r="I16" s="291">
        <f t="shared" si="1"/>
        <v>0</v>
      </c>
      <c r="J16" s="269"/>
      <c r="K16" s="269"/>
      <c r="L16" s="269"/>
      <c r="M16" s="269"/>
      <c r="N16" s="269"/>
      <c r="O16" s="269"/>
      <c r="P16" s="269"/>
      <c r="Q16" s="269"/>
      <c r="R16" s="269"/>
      <c r="S16" s="269"/>
      <c r="T16" s="269"/>
      <c r="U16" s="269"/>
      <c r="V16" s="269"/>
      <c r="W16" s="269"/>
      <c r="X16" s="269"/>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row>
    <row r="17" spans="2:73" s="35" customFormat="1" ht="15.75" thickBot="1">
      <c r="B17" s="287"/>
      <c r="C17" s="288" t="s">
        <v>77</v>
      </c>
      <c r="D17" s="289" t="s">
        <v>78</v>
      </c>
      <c r="E17" s="289"/>
      <c r="F17" s="289"/>
      <c r="G17" s="289"/>
      <c r="H17" s="295">
        <v>10300</v>
      </c>
      <c r="I17" s="291">
        <f t="shared" si="1"/>
        <v>37605</v>
      </c>
      <c r="J17" s="269">
        <f>26475000/1000+11000000/1000</f>
        <v>37475</v>
      </c>
      <c r="K17" s="269">
        <f>0/$I$8/1000</f>
        <v>0</v>
      </c>
      <c r="L17" s="269">
        <f>0/$I$8/1000</f>
        <v>0</v>
      </c>
      <c r="M17" s="269">
        <f>+(200000000/I8/1000)</f>
        <v>129.74375608173858</v>
      </c>
      <c r="N17" s="269"/>
      <c r="O17" s="269"/>
      <c r="P17" s="269"/>
      <c r="Q17" s="269"/>
      <c r="R17" s="269"/>
      <c r="S17" s="269"/>
      <c r="T17" s="269"/>
      <c r="U17" s="269"/>
      <c r="V17" s="269"/>
      <c r="W17" s="269"/>
      <c r="X17" s="269"/>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row>
    <row r="18" spans="2:73" s="35" customFormat="1">
      <c r="B18" s="287"/>
      <c r="C18" s="288" t="s">
        <v>81</v>
      </c>
      <c r="D18" s="289" t="s">
        <v>82</v>
      </c>
      <c r="E18" s="289"/>
      <c r="F18" s="289"/>
      <c r="G18" s="289"/>
      <c r="H18" s="290">
        <v>10400</v>
      </c>
      <c r="I18" s="291">
        <f t="shared" si="1"/>
        <v>169701</v>
      </c>
      <c r="J18" s="296">
        <f>+J19+J24</f>
        <v>0</v>
      </c>
      <c r="K18" s="296">
        <f t="shared" ref="K18:X18" si="2">+K19+K24</f>
        <v>0</v>
      </c>
      <c r="L18" s="296">
        <f t="shared" si="2"/>
        <v>0</v>
      </c>
      <c r="M18" s="296">
        <f t="shared" si="2"/>
        <v>0</v>
      </c>
      <c r="N18" s="296">
        <f t="shared" si="2"/>
        <v>11115</v>
      </c>
      <c r="O18" s="296">
        <f t="shared" si="2"/>
        <v>13120</v>
      </c>
      <c r="P18" s="296">
        <f t="shared" si="2"/>
        <v>25368</v>
      </c>
      <c r="Q18" s="296">
        <f t="shared" si="2"/>
        <v>36650</v>
      </c>
      <c r="R18" s="296">
        <f t="shared" si="2"/>
        <v>31022</v>
      </c>
      <c r="S18" s="296">
        <f t="shared" si="2"/>
        <v>36608</v>
      </c>
      <c r="T18" s="296">
        <f t="shared" si="2"/>
        <v>15818</v>
      </c>
      <c r="U18" s="296">
        <f t="shared" si="2"/>
        <v>0</v>
      </c>
      <c r="V18" s="296">
        <f t="shared" si="2"/>
        <v>0</v>
      </c>
      <c r="W18" s="296">
        <f t="shared" si="2"/>
        <v>0</v>
      </c>
      <c r="X18" s="296">
        <f t="shared" si="2"/>
        <v>0</v>
      </c>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row>
    <row r="19" spans="2:73" s="35" customFormat="1">
      <c r="B19" s="1116"/>
      <c r="C19" s="1117"/>
      <c r="D19" s="1118" t="s">
        <v>84</v>
      </c>
      <c r="E19" s="1118" t="s">
        <v>85</v>
      </c>
      <c r="F19" s="1118"/>
      <c r="G19" s="1118"/>
      <c r="H19" s="783">
        <v>10420</v>
      </c>
      <c r="I19" s="784">
        <f t="shared" si="1"/>
        <v>2000</v>
      </c>
      <c r="J19" s="785">
        <f>+SUM(J20:J23)</f>
        <v>0</v>
      </c>
      <c r="K19" s="785">
        <f t="shared" ref="K19:X19" si="3">+SUM(K20:K23)</f>
        <v>0</v>
      </c>
      <c r="L19" s="785">
        <f t="shared" si="3"/>
        <v>0</v>
      </c>
      <c r="M19" s="785">
        <f t="shared" si="3"/>
        <v>0</v>
      </c>
      <c r="N19" s="785">
        <f t="shared" si="3"/>
        <v>0</v>
      </c>
      <c r="O19" s="785">
        <f t="shared" si="3"/>
        <v>0</v>
      </c>
      <c r="P19" s="785">
        <f t="shared" si="3"/>
        <v>0</v>
      </c>
      <c r="Q19" s="785">
        <f t="shared" si="3"/>
        <v>0</v>
      </c>
      <c r="R19" s="785">
        <f t="shared" si="3"/>
        <v>0</v>
      </c>
      <c r="S19" s="785">
        <f t="shared" si="3"/>
        <v>2000</v>
      </c>
      <c r="T19" s="785">
        <f t="shared" si="3"/>
        <v>0</v>
      </c>
      <c r="U19" s="785">
        <f t="shared" si="3"/>
        <v>0</v>
      </c>
      <c r="V19" s="785">
        <f t="shared" si="3"/>
        <v>0</v>
      </c>
      <c r="W19" s="785">
        <f t="shared" si="3"/>
        <v>0</v>
      </c>
      <c r="X19" s="785">
        <f t="shared" si="3"/>
        <v>0</v>
      </c>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row>
    <row r="20" spans="2:73" s="35" customFormat="1">
      <c r="B20" s="1120"/>
      <c r="C20" s="1121"/>
      <c r="D20" s="1122"/>
      <c r="E20" s="297" t="s">
        <v>87</v>
      </c>
      <c r="F20" s="297" t="s">
        <v>88</v>
      </c>
      <c r="G20" s="297"/>
      <c r="H20" s="786">
        <v>10421</v>
      </c>
      <c r="I20" s="787">
        <f t="shared" si="1"/>
        <v>0</v>
      </c>
      <c r="J20" s="751"/>
      <c r="K20" s="751"/>
      <c r="L20" s="751"/>
      <c r="M20" s="751"/>
      <c r="N20" s="751"/>
      <c r="O20" s="751"/>
      <c r="P20" s="751"/>
      <c r="Q20" s="751"/>
      <c r="R20" s="751"/>
      <c r="S20" s="751"/>
      <c r="T20" s="751"/>
      <c r="U20" s="751"/>
      <c r="V20" s="751"/>
      <c r="W20" s="751"/>
      <c r="X20" s="751"/>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row>
    <row r="21" spans="2:73" s="35" customFormat="1">
      <c r="B21" s="298"/>
      <c r="C21" s="34"/>
      <c r="E21" s="299" t="s">
        <v>90</v>
      </c>
      <c r="F21" s="299" t="s">
        <v>91</v>
      </c>
      <c r="G21" s="299"/>
      <c r="H21" s="300">
        <v>10422</v>
      </c>
      <c r="I21" s="301">
        <f t="shared" si="1"/>
        <v>0</v>
      </c>
      <c r="J21" s="270"/>
      <c r="K21" s="270"/>
      <c r="L21" s="270"/>
      <c r="M21" s="270"/>
      <c r="N21" s="270"/>
      <c r="O21" s="270"/>
      <c r="P21" s="270"/>
      <c r="Q21" s="270"/>
      <c r="R21" s="270"/>
      <c r="S21" s="270"/>
      <c r="T21" s="270"/>
      <c r="U21" s="270"/>
      <c r="V21" s="270"/>
      <c r="W21" s="270"/>
      <c r="X21" s="270"/>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row>
    <row r="22" spans="2:73" s="35" customFormat="1">
      <c r="B22" s="298"/>
      <c r="C22" s="34"/>
      <c r="E22" s="299" t="s">
        <v>93</v>
      </c>
      <c r="F22" s="299" t="s">
        <v>94</v>
      </c>
      <c r="G22" s="299"/>
      <c r="H22" s="300">
        <v>10423</v>
      </c>
      <c r="I22" s="301">
        <f t="shared" si="1"/>
        <v>2000</v>
      </c>
      <c r="J22" s="270">
        <v>0</v>
      </c>
      <c r="K22" s="270"/>
      <c r="L22" s="270"/>
      <c r="M22" s="270"/>
      <c r="N22" s="270"/>
      <c r="O22" s="270"/>
      <c r="P22" s="270"/>
      <c r="Q22" s="270"/>
      <c r="R22" s="270"/>
      <c r="S22" s="270">
        <v>2000</v>
      </c>
      <c r="T22" s="270"/>
      <c r="U22" s="270"/>
      <c r="V22" s="270"/>
      <c r="W22" s="270"/>
      <c r="X22" s="270"/>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row>
    <row r="23" spans="2:73" s="35" customFormat="1">
      <c r="B23" s="302"/>
      <c r="C23" s="303"/>
      <c r="D23" s="304"/>
      <c r="E23" s="305" t="s">
        <v>97</v>
      </c>
      <c r="F23" s="305" t="s">
        <v>98</v>
      </c>
      <c r="G23" s="305"/>
      <c r="H23" s="306">
        <v>10424</v>
      </c>
      <c r="I23" s="307">
        <f t="shared" si="1"/>
        <v>0</v>
      </c>
      <c r="J23" s="272"/>
      <c r="K23" s="272"/>
      <c r="L23" s="272"/>
      <c r="M23" s="272"/>
      <c r="N23" s="272"/>
      <c r="O23" s="272"/>
      <c r="P23" s="272"/>
      <c r="Q23" s="272"/>
      <c r="R23" s="272"/>
      <c r="S23" s="272"/>
      <c r="T23" s="272"/>
      <c r="U23" s="272"/>
      <c r="V23" s="272"/>
      <c r="W23" s="272"/>
      <c r="X23" s="272"/>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row>
    <row r="24" spans="2:73" s="35" customFormat="1" ht="15.75" thickBot="1">
      <c r="B24" s="752"/>
      <c r="C24" s="753"/>
      <c r="D24" s="754" t="s">
        <v>100</v>
      </c>
      <c r="E24" s="754" t="s">
        <v>101</v>
      </c>
      <c r="F24" s="754"/>
      <c r="G24" s="754"/>
      <c r="H24" s="788">
        <v>10490</v>
      </c>
      <c r="I24" s="789">
        <f t="shared" si="1"/>
        <v>167701</v>
      </c>
      <c r="J24" s="757">
        <v>0</v>
      </c>
      <c r="K24" s="757">
        <v>0</v>
      </c>
      <c r="L24" s="757">
        <v>0</v>
      </c>
      <c r="M24" s="757">
        <v>0</v>
      </c>
      <c r="N24" s="757">
        <v>11115</v>
      </c>
      <c r="O24" s="757">
        <v>13120</v>
      </c>
      <c r="P24" s="757">
        <v>25368</v>
      </c>
      <c r="Q24" s="757">
        <v>36650</v>
      </c>
      <c r="R24" s="757">
        <v>31022</v>
      </c>
      <c r="S24" s="757">
        <v>34608</v>
      </c>
      <c r="T24" s="757">
        <v>15818</v>
      </c>
      <c r="U24" s="757">
        <v>0</v>
      </c>
      <c r="V24" s="757"/>
      <c r="W24" s="757"/>
      <c r="X24" s="757"/>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row>
    <row r="25" spans="2:73" s="35" customFormat="1">
      <c r="B25" s="287"/>
      <c r="C25" s="288" t="s">
        <v>105</v>
      </c>
      <c r="D25" s="289" t="s">
        <v>106</v>
      </c>
      <c r="E25" s="289"/>
      <c r="F25" s="289"/>
      <c r="G25" s="289"/>
      <c r="H25" s="290">
        <v>10500</v>
      </c>
      <c r="I25" s="291">
        <f t="shared" si="1"/>
        <v>237567</v>
      </c>
      <c r="J25" s="296">
        <f>+SUM(J26:J27)</f>
        <v>0</v>
      </c>
      <c r="K25" s="296">
        <f t="shared" ref="K25:X25" si="4">+SUM(K26:K27)</f>
        <v>0</v>
      </c>
      <c r="L25" s="296">
        <f t="shared" si="4"/>
        <v>0</v>
      </c>
      <c r="M25" s="296">
        <f t="shared" si="4"/>
        <v>35736.968209999999</v>
      </c>
      <c r="N25" s="296">
        <f t="shared" si="4"/>
        <v>18735.019972105092</v>
      </c>
      <c r="O25" s="296">
        <f t="shared" si="4"/>
        <v>18940</v>
      </c>
      <c r="P25" s="296">
        <f t="shared" si="4"/>
        <v>15000</v>
      </c>
      <c r="Q25" s="296">
        <f t="shared" si="4"/>
        <v>37903.317383979891</v>
      </c>
      <c r="R25" s="296">
        <f t="shared" si="4"/>
        <v>51267.06975817385</v>
      </c>
      <c r="S25" s="296">
        <f t="shared" si="4"/>
        <v>15000</v>
      </c>
      <c r="T25" s="296">
        <f t="shared" si="4"/>
        <v>1850</v>
      </c>
      <c r="U25" s="296">
        <f t="shared" si="4"/>
        <v>43135.08956</v>
      </c>
      <c r="V25" s="296">
        <f t="shared" si="4"/>
        <v>0</v>
      </c>
      <c r="W25" s="296">
        <f t="shared" si="4"/>
        <v>0</v>
      </c>
      <c r="X25" s="296">
        <f t="shared" si="4"/>
        <v>0</v>
      </c>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row>
    <row r="26" spans="2:73" s="35" customFormat="1">
      <c r="B26" s="1116"/>
      <c r="C26" s="1117"/>
      <c r="D26" s="1118" t="s">
        <v>84</v>
      </c>
      <c r="E26" s="758" t="s">
        <v>108</v>
      </c>
      <c r="F26" s="758"/>
      <c r="G26" s="758"/>
      <c r="H26" s="783">
        <v>10510</v>
      </c>
      <c r="I26" s="784">
        <f t="shared" si="1"/>
        <v>237567</v>
      </c>
      <c r="J26" s="1123">
        <v>0</v>
      </c>
      <c r="K26" s="1123">
        <v>0</v>
      </c>
      <c r="L26" s="1123">
        <v>0</v>
      </c>
      <c r="M26" s="1123">
        <v>35736.968209999999</v>
      </c>
      <c r="N26" s="1123">
        <v>18735.019972105092</v>
      </c>
      <c r="O26" s="1123">
        <v>18940</v>
      </c>
      <c r="P26" s="1123">
        <v>15000</v>
      </c>
      <c r="Q26" s="1123">
        <v>37903.317383979891</v>
      </c>
      <c r="R26" s="1123">
        <v>51267.06975817385</v>
      </c>
      <c r="S26" s="1123">
        <v>15000</v>
      </c>
      <c r="T26" s="1123">
        <v>1850</v>
      </c>
      <c r="U26" s="1123">
        <v>43135.08956</v>
      </c>
      <c r="V26" s="1123"/>
      <c r="W26" s="1123"/>
      <c r="X26" s="1123"/>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row>
    <row r="27" spans="2:73" s="35" customFormat="1" ht="15.75" thickBot="1">
      <c r="B27" s="752"/>
      <c r="C27" s="753"/>
      <c r="D27" s="754" t="s">
        <v>100</v>
      </c>
      <c r="E27" s="759" t="s">
        <v>112</v>
      </c>
      <c r="F27" s="759"/>
      <c r="G27" s="759"/>
      <c r="H27" s="788">
        <v>10520</v>
      </c>
      <c r="I27" s="789">
        <f t="shared" si="1"/>
        <v>0</v>
      </c>
      <c r="J27" s="1123"/>
      <c r="K27" s="1123"/>
      <c r="L27" s="1123"/>
      <c r="M27" s="1123"/>
      <c r="N27" s="1123"/>
      <c r="O27" s="1123"/>
      <c r="P27" s="1123"/>
      <c r="Q27" s="1123"/>
      <c r="R27" s="1123"/>
      <c r="S27" s="1123"/>
      <c r="T27" s="1123"/>
      <c r="U27" s="1123"/>
      <c r="V27" s="1123"/>
      <c r="W27" s="1123"/>
      <c r="X27" s="1123"/>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row>
    <row r="28" spans="2:73" s="35" customFormat="1">
      <c r="B28" s="287"/>
      <c r="C28" s="288" t="s">
        <v>116</v>
      </c>
      <c r="D28" s="289" t="s">
        <v>117</v>
      </c>
      <c r="E28" s="308"/>
      <c r="F28" s="308"/>
      <c r="G28" s="308"/>
      <c r="H28" s="290">
        <v>10700</v>
      </c>
      <c r="I28" s="291">
        <f t="shared" si="1"/>
        <v>0</v>
      </c>
      <c r="J28" s="309">
        <f>+SUM(J29:J30)</f>
        <v>0</v>
      </c>
      <c r="K28" s="309">
        <f t="shared" ref="K28:X28" si="5">+SUM(K29:K30)</f>
        <v>0</v>
      </c>
      <c r="L28" s="309">
        <f t="shared" si="5"/>
        <v>0</v>
      </c>
      <c r="M28" s="309">
        <f t="shared" si="5"/>
        <v>0</v>
      </c>
      <c r="N28" s="309">
        <f t="shared" si="5"/>
        <v>0</v>
      </c>
      <c r="O28" s="309">
        <f t="shared" si="5"/>
        <v>0</v>
      </c>
      <c r="P28" s="309">
        <f t="shared" si="5"/>
        <v>0</v>
      </c>
      <c r="Q28" s="309">
        <f t="shared" si="5"/>
        <v>0</v>
      </c>
      <c r="R28" s="309">
        <f t="shared" si="5"/>
        <v>0</v>
      </c>
      <c r="S28" s="309">
        <f t="shared" si="5"/>
        <v>0</v>
      </c>
      <c r="T28" s="309">
        <f t="shared" si="5"/>
        <v>0</v>
      </c>
      <c r="U28" s="309">
        <f t="shared" si="5"/>
        <v>0</v>
      </c>
      <c r="V28" s="309">
        <f t="shared" si="5"/>
        <v>0</v>
      </c>
      <c r="W28" s="309">
        <f t="shared" si="5"/>
        <v>0</v>
      </c>
      <c r="X28" s="309">
        <f t="shared" si="5"/>
        <v>0</v>
      </c>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row>
    <row r="29" spans="2:73" s="35" customFormat="1" ht="15" customHeight="1">
      <c r="B29" s="1120"/>
      <c r="C29" s="1121"/>
      <c r="D29" s="1124" t="s">
        <v>84</v>
      </c>
      <c r="E29" s="1235" t="s">
        <v>119</v>
      </c>
      <c r="F29" s="1235"/>
      <c r="G29" s="1235"/>
      <c r="H29" s="783">
        <v>10710</v>
      </c>
      <c r="I29" s="784">
        <f t="shared" si="1"/>
        <v>0</v>
      </c>
      <c r="J29" s="1123"/>
      <c r="K29" s="1123"/>
      <c r="L29" s="1123"/>
      <c r="M29" s="1123"/>
      <c r="N29" s="1123"/>
      <c r="O29" s="1123"/>
      <c r="P29" s="1123"/>
      <c r="Q29" s="1123"/>
      <c r="R29" s="1123"/>
      <c r="S29" s="1123"/>
      <c r="T29" s="1123"/>
      <c r="U29" s="1123"/>
      <c r="V29" s="1123"/>
      <c r="W29" s="1123"/>
      <c r="X29" s="1123"/>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row>
    <row r="30" spans="2:73" s="35" customFormat="1" ht="15.75" thickBot="1">
      <c r="B30" s="752"/>
      <c r="C30" s="753"/>
      <c r="D30" s="754" t="s">
        <v>100</v>
      </c>
      <c r="E30" s="759" t="s">
        <v>101</v>
      </c>
      <c r="F30" s="759"/>
      <c r="G30" s="759"/>
      <c r="H30" s="788">
        <v>10790</v>
      </c>
      <c r="I30" s="789">
        <f t="shared" si="1"/>
        <v>0</v>
      </c>
      <c r="J30" s="1123"/>
      <c r="K30" s="1123"/>
      <c r="L30" s="1123"/>
      <c r="M30" s="1123"/>
      <c r="N30" s="1123"/>
      <c r="O30" s="1123"/>
      <c r="P30" s="1123"/>
      <c r="Q30" s="1123"/>
      <c r="R30" s="1123"/>
      <c r="S30" s="1123"/>
      <c r="T30" s="1123"/>
      <c r="U30" s="1123"/>
      <c r="V30" s="1123"/>
      <c r="W30" s="1123"/>
      <c r="X30" s="1123"/>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row>
    <row r="31" spans="2:73" s="35" customFormat="1" ht="15" customHeight="1" thickBot="1">
      <c r="B31" s="310"/>
      <c r="C31" s="311" t="s">
        <v>124</v>
      </c>
      <c r="D31" s="312" t="s">
        <v>249</v>
      </c>
      <c r="E31" s="312"/>
      <c r="F31" s="312"/>
      <c r="G31" s="312"/>
      <c r="H31" s="295">
        <v>10600</v>
      </c>
      <c r="I31" s="313">
        <f t="shared" si="1"/>
        <v>0</v>
      </c>
      <c r="J31" s="271">
        <v>0</v>
      </c>
      <c r="K31" s="271">
        <v>0</v>
      </c>
      <c r="L31" s="271">
        <v>0</v>
      </c>
      <c r="M31" s="271">
        <v>0</v>
      </c>
      <c r="N31" s="271">
        <v>0</v>
      </c>
      <c r="O31" s="271">
        <v>0</v>
      </c>
      <c r="P31" s="271">
        <v>0</v>
      </c>
      <c r="Q31" s="271">
        <v>0</v>
      </c>
      <c r="R31" s="271">
        <v>0</v>
      </c>
      <c r="S31" s="271">
        <v>0</v>
      </c>
      <c r="T31" s="271">
        <v>0</v>
      </c>
      <c r="U31" s="271">
        <v>0</v>
      </c>
      <c r="V31" s="271"/>
      <c r="W31" s="271"/>
      <c r="X31" s="271"/>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row>
    <row r="32" spans="2:73" s="35" customFormat="1">
      <c r="B32" s="314"/>
      <c r="C32" s="315"/>
      <c r="D32" s="315"/>
      <c r="E32" s="315"/>
      <c r="F32" s="315"/>
      <c r="G32" s="315"/>
      <c r="H32" s="316"/>
      <c r="I32" s="317"/>
      <c r="J32" s="1194">
        <f>J17-[4]SEO!$J$17</f>
        <v>14225</v>
      </c>
      <c r="K32" s="318"/>
      <c r="L32" s="318"/>
      <c r="M32" s="318"/>
      <c r="N32" s="318"/>
      <c r="O32" s="318"/>
      <c r="P32" s="319"/>
      <c r="Q32" s="319"/>
      <c r="R32" s="319"/>
      <c r="S32" s="319"/>
      <c r="T32" s="319"/>
      <c r="U32" s="319"/>
      <c r="V32" s="319"/>
      <c r="W32" s="319"/>
      <c r="X32" s="320"/>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row>
    <row r="33" spans="2:73" s="35" customFormat="1">
      <c r="B33" s="302"/>
      <c r="C33" s="304"/>
      <c r="D33" s="304"/>
      <c r="E33" s="304"/>
      <c r="F33" s="304"/>
      <c r="G33" s="304"/>
      <c r="H33" s="321"/>
      <c r="I33" s="322"/>
      <c r="J33" s="304"/>
      <c r="K33" s="304"/>
      <c r="L33" s="304"/>
      <c r="M33" s="304"/>
      <c r="N33" s="304"/>
      <c r="O33" s="304"/>
      <c r="P33" s="304"/>
      <c r="Q33" s="304"/>
      <c r="R33" s="304"/>
      <c r="S33" s="304"/>
      <c r="T33" s="304"/>
      <c r="U33" s="304"/>
      <c r="V33" s="304"/>
      <c r="W33" s="304"/>
      <c r="X33" s="323"/>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row>
    <row r="34" spans="2:73" s="35" customFormat="1">
      <c r="B34" s="1125" t="s">
        <v>128</v>
      </c>
      <c r="C34" s="1126" t="s">
        <v>4</v>
      </c>
      <c r="D34" s="1127"/>
      <c r="E34" s="1127"/>
      <c r="F34" s="1127"/>
      <c r="G34" s="1127"/>
      <c r="H34" s="790">
        <v>20000</v>
      </c>
      <c r="I34" s="791">
        <f t="shared" ref="I34:I54" si="6">ROUND(SUM(J34:X34),0)</f>
        <v>2716</v>
      </c>
      <c r="J34" s="792">
        <f>ROUND(+J35+J42+J43+J44+J48+J51+J54,0)</f>
        <v>2442</v>
      </c>
      <c r="K34" s="792">
        <f t="shared" ref="K34:X34" si="7">ROUND(+K35+K42+K43+K44+K48+K51+K54,0)</f>
        <v>0</v>
      </c>
      <c r="L34" s="792">
        <f t="shared" si="7"/>
        <v>85</v>
      </c>
      <c r="M34" s="792">
        <f t="shared" si="7"/>
        <v>189</v>
      </c>
      <c r="N34" s="792">
        <f t="shared" si="7"/>
        <v>0</v>
      </c>
      <c r="O34" s="792">
        <f t="shared" si="7"/>
        <v>0</v>
      </c>
      <c r="P34" s="792">
        <f t="shared" si="7"/>
        <v>0</v>
      </c>
      <c r="Q34" s="792">
        <f t="shared" si="7"/>
        <v>0</v>
      </c>
      <c r="R34" s="792">
        <f t="shared" si="7"/>
        <v>0</v>
      </c>
      <c r="S34" s="792">
        <f t="shared" si="7"/>
        <v>0</v>
      </c>
      <c r="T34" s="792">
        <f t="shared" si="7"/>
        <v>0</v>
      </c>
      <c r="U34" s="792">
        <f t="shared" si="7"/>
        <v>0</v>
      </c>
      <c r="V34" s="792">
        <f t="shared" si="7"/>
        <v>0</v>
      </c>
      <c r="W34" s="792">
        <f t="shared" si="7"/>
        <v>0</v>
      </c>
      <c r="X34" s="792">
        <f t="shared" si="7"/>
        <v>0</v>
      </c>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row>
    <row r="35" spans="2:73" s="35" customFormat="1">
      <c r="B35" s="1129"/>
      <c r="C35" s="1130" t="s">
        <v>66</v>
      </c>
      <c r="D35" s="1131" t="s">
        <v>129</v>
      </c>
      <c r="E35" s="1131"/>
      <c r="F35" s="1131"/>
      <c r="G35" s="1131"/>
      <c r="H35" s="790">
        <v>20100</v>
      </c>
      <c r="I35" s="791">
        <f t="shared" si="6"/>
        <v>2716</v>
      </c>
      <c r="J35" s="793">
        <f t="shared" ref="J35:P35" si="8">+J36+J37+J38</f>
        <v>2441.8188292053192</v>
      </c>
      <c r="K35" s="793">
        <f t="shared" si="8"/>
        <v>0</v>
      </c>
      <c r="L35" s="793">
        <f t="shared" si="8"/>
        <v>85.323340000000002</v>
      </c>
      <c r="M35" s="793">
        <f t="shared" si="8"/>
        <v>189.19935999999998</v>
      </c>
      <c r="N35" s="793">
        <f t="shared" si="8"/>
        <v>0</v>
      </c>
      <c r="O35" s="793">
        <f t="shared" si="8"/>
        <v>0</v>
      </c>
      <c r="P35" s="794">
        <f t="shared" si="8"/>
        <v>0</v>
      </c>
      <c r="Q35" s="794">
        <f t="shared" ref="Q35:X35" si="9">+Q36+Q37+Q38</f>
        <v>0</v>
      </c>
      <c r="R35" s="794">
        <f t="shared" si="9"/>
        <v>0</v>
      </c>
      <c r="S35" s="794">
        <f t="shared" si="9"/>
        <v>0</v>
      </c>
      <c r="T35" s="794">
        <f t="shared" si="9"/>
        <v>0</v>
      </c>
      <c r="U35" s="794">
        <f t="shared" si="9"/>
        <v>0</v>
      </c>
      <c r="V35" s="794">
        <f t="shared" si="9"/>
        <v>0</v>
      </c>
      <c r="W35" s="794">
        <f t="shared" si="9"/>
        <v>0</v>
      </c>
      <c r="X35" s="794">
        <f t="shared" si="9"/>
        <v>0</v>
      </c>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row>
    <row r="36" spans="2:73" s="35" customFormat="1">
      <c r="B36" s="1116"/>
      <c r="C36" s="1117"/>
      <c r="D36" s="1118" t="s">
        <v>84</v>
      </c>
      <c r="E36" s="1118" t="s">
        <v>131</v>
      </c>
      <c r="F36" s="1118"/>
      <c r="G36" s="1118"/>
      <c r="H36" s="783">
        <v>20110</v>
      </c>
      <c r="I36" s="784">
        <f t="shared" si="6"/>
        <v>1274</v>
      </c>
      <c r="J36" s="1123">
        <f>+(1963126628.82/I8/1000)</f>
        <v>1273.517112435939</v>
      </c>
      <c r="K36" s="1123"/>
      <c r="L36" s="1123"/>
      <c r="M36" s="1123"/>
      <c r="N36" s="1123"/>
      <c r="O36" s="1123"/>
      <c r="P36" s="1123"/>
      <c r="Q36" s="1123"/>
      <c r="R36" s="1123"/>
      <c r="S36" s="1123"/>
      <c r="T36" s="1123"/>
      <c r="U36" s="1123"/>
      <c r="V36" s="1123"/>
      <c r="W36" s="1123"/>
      <c r="X36" s="1123"/>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row>
    <row r="37" spans="2:73" s="35" customFormat="1">
      <c r="B37" s="1116"/>
      <c r="C37" s="1117"/>
      <c r="D37" s="1118" t="s">
        <v>100</v>
      </c>
      <c r="E37" s="1118" t="s">
        <v>134</v>
      </c>
      <c r="F37" s="1118"/>
      <c r="G37" s="1118"/>
      <c r="H37" s="783">
        <v>20120</v>
      </c>
      <c r="I37" s="784">
        <f t="shared" si="6"/>
        <v>1137</v>
      </c>
      <c r="J37" s="1123">
        <f>+(1752307580.88/I8/1000)</f>
        <v>1136.7548367693805</v>
      </c>
      <c r="K37" s="1123"/>
      <c r="L37" s="1123"/>
      <c r="M37" s="1123"/>
      <c r="N37" s="1123"/>
      <c r="O37" s="1123"/>
      <c r="P37" s="1123"/>
      <c r="Q37" s="1123"/>
      <c r="R37" s="1123"/>
      <c r="S37" s="1123"/>
      <c r="T37" s="1123"/>
      <c r="U37" s="1123"/>
      <c r="V37" s="1123"/>
      <c r="W37" s="1123"/>
      <c r="X37" s="1123"/>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row>
    <row r="38" spans="2:73" s="35" customFormat="1">
      <c r="B38" s="1116"/>
      <c r="C38" s="1117"/>
      <c r="D38" s="1118" t="s">
        <v>137</v>
      </c>
      <c r="E38" s="1118" t="s">
        <v>138</v>
      </c>
      <c r="F38" s="1118"/>
      <c r="G38" s="1118"/>
      <c r="H38" s="783">
        <v>20130</v>
      </c>
      <c r="I38" s="784">
        <f t="shared" si="6"/>
        <v>306</v>
      </c>
      <c r="J38" s="785">
        <f>+SUM(J39:J41)</f>
        <v>31.546879999999998</v>
      </c>
      <c r="K38" s="785">
        <f t="shared" ref="K38:X38" si="10">+SUM(K39:K41)</f>
        <v>0</v>
      </c>
      <c r="L38" s="785">
        <f t="shared" si="10"/>
        <v>85.323340000000002</v>
      </c>
      <c r="M38" s="785">
        <f t="shared" si="10"/>
        <v>189.19935999999998</v>
      </c>
      <c r="N38" s="785">
        <f t="shared" si="10"/>
        <v>0</v>
      </c>
      <c r="O38" s="785">
        <f t="shared" si="10"/>
        <v>0</v>
      </c>
      <c r="P38" s="785">
        <f t="shared" si="10"/>
        <v>0</v>
      </c>
      <c r="Q38" s="785">
        <f t="shared" si="10"/>
        <v>0</v>
      </c>
      <c r="R38" s="785">
        <f t="shared" si="10"/>
        <v>0</v>
      </c>
      <c r="S38" s="785">
        <f t="shared" si="10"/>
        <v>0</v>
      </c>
      <c r="T38" s="785">
        <f t="shared" si="10"/>
        <v>0</v>
      </c>
      <c r="U38" s="785">
        <f t="shared" si="10"/>
        <v>0</v>
      </c>
      <c r="V38" s="785">
        <f t="shared" si="10"/>
        <v>0</v>
      </c>
      <c r="W38" s="785">
        <f t="shared" si="10"/>
        <v>0</v>
      </c>
      <c r="X38" s="785">
        <f t="shared" si="10"/>
        <v>0</v>
      </c>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row>
    <row r="39" spans="2:73" s="35" customFormat="1">
      <c r="B39" s="1116"/>
      <c r="C39" s="1117"/>
      <c r="D39" s="1118"/>
      <c r="E39" s="1118" t="s">
        <v>87</v>
      </c>
      <c r="F39" s="1118" t="s">
        <v>250</v>
      </c>
      <c r="G39" s="1118"/>
      <c r="H39" s="783">
        <v>20131</v>
      </c>
      <c r="I39" s="784">
        <f t="shared" si="6"/>
        <v>0</v>
      </c>
      <c r="J39" s="1123"/>
      <c r="K39" s="1123"/>
      <c r="L39" s="1123"/>
      <c r="M39" s="1123"/>
      <c r="N39" s="1123"/>
      <c r="O39" s="1123"/>
      <c r="P39" s="1123"/>
      <c r="Q39" s="1123"/>
      <c r="R39" s="1123"/>
      <c r="S39" s="1123"/>
      <c r="T39" s="1123"/>
      <c r="U39" s="1123"/>
      <c r="V39" s="1123"/>
      <c r="W39" s="1123"/>
      <c r="X39" s="1123"/>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row>
    <row r="40" spans="2:73" s="35" customFormat="1">
      <c r="B40" s="1116"/>
      <c r="C40" s="1117"/>
      <c r="D40" s="1118"/>
      <c r="E40" s="1118" t="s">
        <v>90</v>
      </c>
      <c r="F40" s="1118" t="s">
        <v>142</v>
      </c>
      <c r="G40" s="1118"/>
      <c r="H40" s="783">
        <v>20132</v>
      </c>
      <c r="I40" s="784">
        <f t="shared" si="6"/>
        <v>306</v>
      </c>
      <c r="J40" s="1123">
        <v>31.546879999999998</v>
      </c>
      <c r="K40" s="1123">
        <v>0</v>
      </c>
      <c r="L40" s="1123">
        <v>85.323340000000002</v>
      </c>
      <c r="M40" s="1123">
        <v>189.19935999999998</v>
      </c>
      <c r="N40" s="1123">
        <v>0</v>
      </c>
      <c r="O40" s="1123">
        <v>0</v>
      </c>
      <c r="P40" s="1123">
        <v>0</v>
      </c>
      <c r="Q40" s="1123">
        <v>0</v>
      </c>
      <c r="R40" s="1123">
        <v>0</v>
      </c>
      <c r="S40" s="1123">
        <v>0</v>
      </c>
      <c r="T40" s="1123">
        <v>0</v>
      </c>
      <c r="U40" s="1123">
        <v>0</v>
      </c>
      <c r="V40" s="1123">
        <v>0</v>
      </c>
      <c r="W40" s="1123"/>
      <c r="X40" s="1123"/>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row>
    <row r="41" spans="2:73" s="35" customFormat="1">
      <c r="B41" s="1116"/>
      <c r="C41" s="1117"/>
      <c r="D41" s="1118"/>
      <c r="E41" s="1118" t="s">
        <v>93</v>
      </c>
      <c r="F41" s="1118" t="s">
        <v>101</v>
      </c>
      <c r="G41" s="1118"/>
      <c r="H41" s="783">
        <v>20139</v>
      </c>
      <c r="I41" s="784">
        <f t="shared" si="6"/>
        <v>0</v>
      </c>
      <c r="J41" s="1123"/>
      <c r="K41" s="1123"/>
      <c r="L41" s="1123"/>
      <c r="M41" s="1123"/>
      <c r="N41" s="1123"/>
      <c r="O41" s="1123"/>
      <c r="P41" s="1123"/>
      <c r="Q41" s="1123"/>
      <c r="R41" s="1123"/>
      <c r="S41" s="1123"/>
      <c r="T41" s="1123"/>
      <c r="U41" s="1123"/>
      <c r="V41" s="1123"/>
      <c r="W41" s="1123"/>
      <c r="X41" s="1123"/>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row>
    <row r="42" spans="2:73" s="35" customFormat="1">
      <c r="B42" s="1129"/>
      <c r="C42" s="1130" t="s">
        <v>73</v>
      </c>
      <c r="D42" s="1131" t="s">
        <v>147</v>
      </c>
      <c r="E42" s="1131"/>
      <c r="F42" s="1131"/>
      <c r="G42" s="1131"/>
      <c r="H42" s="790">
        <v>20200</v>
      </c>
      <c r="I42" s="791">
        <f t="shared" si="6"/>
        <v>0</v>
      </c>
      <c r="J42" s="1123"/>
      <c r="K42" s="1123"/>
      <c r="L42" s="1123"/>
      <c r="M42" s="1123"/>
      <c r="N42" s="1123"/>
      <c r="O42" s="1123"/>
      <c r="P42" s="1123"/>
      <c r="Q42" s="1123"/>
      <c r="R42" s="1123"/>
      <c r="S42" s="1123"/>
      <c r="T42" s="1123"/>
      <c r="U42" s="1123"/>
      <c r="V42" s="1123"/>
      <c r="W42" s="1123"/>
      <c r="X42" s="1123"/>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row>
    <row r="43" spans="2:73" s="35" customFormat="1">
      <c r="B43" s="1129"/>
      <c r="C43" s="1130" t="s">
        <v>77</v>
      </c>
      <c r="D43" s="1131" t="s">
        <v>150</v>
      </c>
      <c r="E43" s="1131"/>
      <c r="F43" s="1131"/>
      <c r="G43" s="1131"/>
      <c r="H43" s="790">
        <v>20300</v>
      </c>
      <c r="I43" s="791">
        <f t="shared" si="6"/>
        <v>0</v>
      </c>
      <c r="J43" s="1123">
        <v>0</v>
      </c>
      <c r="K43" s="1123">
        <v>0</v>
      </c>
      <c r="L43" s="1123"/>
      <c r="M43" s="1123">
        <v>0</v>
      </c>
      <c r="N43" s="1123"/>
      <c r="O43" s="1123"/>
      <c r="P43" s="1123"/>
      <c r="Q43" s="1123">
        <v>0</v>
      </c>
      <c r="R43" s="1123">
        <v>0</v>
      </c>
      <c r="S43" s="1123"/>
      <c r="T43" s="1123"/>
      <c r="U43" s="1123"/>
      <c r="V43" s="1123"/>
      <c r="W43" s="1123"/>
      <c r="X43" s="1123"/>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row>
    <row r="44" spans="2:73" s="35" customFormat="1">
      <c r="B44" s="1129"/>
      <c r="C44" s="1130" t="s">
        <v>81</v>
      </c>
      <c r="D44" s="1131" t="s">
        <v>153</v>
      </c>
      <c r="E44" s="1131"/>
      <c r="F44" s="1131"/>
      <c r="G44" s="1131"/>
      <c r="H44" s="790">
        <v>20400</v>
      </c>
      <c r="I44" s="791">
        <f t="shared" si="6"/>
        <v>0</v>
      </c>
      <c r="J44" s="793">
        <f>+SUM(J45:J47)</f>
        <v>0</v>
      </c>
      <c r="K44" s="793">
        <f t="shared" ref="K44:X44" si="11">+SUM(K45:K47)</f>
        <v>0</v>
      </c>
      <c r="L44" s="793">
        <f t="shared" si="11"/>
        <v>0</v>
      </c>
      <c r="M44" s="793">
        <f t="shared" si="11"/>
        <v>0</v>
      </c>
      <c r="N44" s="793">
        <f t="shared" si="11"/>
        <v>0</v>
      </c>
      <c r="O44" s="793">
        <f t="shared" si="11"/>
        <v>0</v>
      </c>
      <c r="P44" s="793">
        <f t="shared" si="11"/>
        <v>0</v>
      </c>
      <c r="Q44" s="793">
        <f t="shared" si="11"/>
        <v>0</v>
      </c>
      <c r="R44" s="793">
        <f t="shared" si="11"/>
        <v>0</v>
      </c>
      <c r="S44" s="793">
        <f t="shared" si="11"/>
        <v>0</v>
      </c>
      <c r="T44" s="793">
        <f t="shared" si="11"/>
        <v>0</v>
      </c>
      <c r="U44" s="793">
        <f t="shared" si="11"/>
        <v>0</v>
      </c>
      <c r="V44" s="793">
        <f t="shared" si="11"/>
        <v>0</v>
      </c>
      <c r="W44" s="793">
        <f t="shared" si="11"/>
        <v>0</v>
      </c>
      <c r="X44" s="793">
        <f t="shared" si="11"/>
        <v>0</v>
      </c>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row>
    <row r="45" spans="2:73" s="35" customFormat="1">
      <c r="B45" s="1116"/>
      <c r="C45" s="1117"/>
      <c r="D45" s="1118" t="s">
        <v>84</v>
      </c>
      <c r="E45" s="1118" t="s">
        <v>155</v>
      </c>
      <c r="F45" s="1118"/>
      <c r="G45" s="1118"/>
      <c r="H45" s="783">
        <v>20410</v>
      </c>
      <c r="I45" s="784">
        <f t="shared" si="6"/>
        <v>0</v>
      </c>
      <c r="J45" s="1123"/>
      <c r="K45" s="1123"/>
      <c r="L45" s="1123"/>
      <c r="M45" s="1123"/>
      <c r="N45" s="1123"/>
      <c r="O45" s="1123"/>
      <c r="P45" s="1123"/>
      <c r="Q45" s="1123"/>
      <c r="R45" s="1123"/>
      <c r="S45" s="1123"/>
      <c r="T45" s="1123"/>
      <c r="U45" s="1123"/>
      <c r="V45" s="1123"/>
      <c r="W45" s="1123"/>
      <c r="X45" s="1123"/>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row>
    <row r="46" spans="2:73" s="35" customFormat="1">
      <c r="B46" s="1116"/>
      <c r="C46" s="1117"/>
      <c r="D46" s="1118" t="s">
        <v>100</v>
      </c>
      <c r="E46" s="1118" t="s">
        <v>157</v>
      </c>
      <c r="F46" s="1118"/>
      <c r="G46" s="1118"/>
      <c r="H46" s="783">
        <v>20420</v>
      </c>
      <c r="I46" s="784">
        <f t="shared" si="6"/>
        <v>0</v>
      </c>
      <c r="J46" s="1123"/>
      <c r="K46" s="1123"/>
      <c r="L46" s="1123"/>
      <c r="M46" s="1123"/>
      <c r="N46" s="1123"/>
      <c r="O46" s="1123"/>
      <c r="P46" s="1123"/>
      <c r="Q46" s="1123"/>
      <c r="R46" s="1123"/>
      <c r="S46" s="1123"/>
      <c r="T46" s="1123"/>
      <c r="U46" s="1123"/>
      <c r="V46" s="1123"/>
      <c r="W46" s="1123"/>
      <c r="X46" s="1123"/>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row>
    <row r="47" spans="2:73" s="35" customFormat="1">
      <c r="B47" s="1116"/>
      <c r="C47" s="1117"/>
      <c r="D47" s="1118" t="s">
        <v>137</v>
      </c>
      <c r="E47" s="1118" t="s">
        <v>101</v>
      </c>
      <c r="F47" s="1118"/>
      <c r="G47" s="1118"/>
      <c r="H47" s="783">
        <v>20490</v>
      </c>
      <c r="I47" s="784">
        <f t="shared" si="6"/>
        <v>0</v>
      </c>
      <c r="J47" s="1123"/>
      <c r="K47" s="1123"/>
      <c r="L47" s="1123"/>
      <c r="M47" s="1123"/>
      <c r="N47" s="1123"/>
      <c r="O47" s="1123"/>
      <c r="P47" s="1123"/>
      <c r="Q47" s="1123"/>
      <c r="R47" s="1123"/>
      <c r="S47" s="1123"/>
      <c r="T47" s="1123"/>
      <c r="U47" s="1123"/>
      <c r="V47" s="1123"/>
      <c r="W47" s="1123"/>
      <c r="X47" s="1123"/>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row>
    <row r="48" spans="2:73" s="35" customFormat="1">
      <c r="B48" s="1129"/>
      <c r="C48" s="1130" t="s">
        <v>105</v>
      </c>
      <c r="D48" s="1131" t="s">
        <v>160</v>
      </c>
      <c r="E48" s="1131"/>
      <c r="F48" s="1131"/>
      <c r="G48" s="1131"/>
      <c r="H48" s="790">
        <v>20500</v>
      </c>
      <c r="I48" s="791">
        <f t="shared" si="6"/>
        <v>0</v>
      </c>
      <c r="J48" s="793">
        <f>+SUM(J49:J50)</f>
        <v>0</v>
      </c>
      <c r="K48" s="793">
        <f t="shared" ref="K48:X48" si="12">+SUM(K49:K50)</f>
        <v>0</v>
      </c>
      <c r="L48" s="793">
        <f t="shared" si="12"/>
        <v>0</v>
      </c>
      <c r="M48" s="793">
        <f t="shared" si="12"/>
        <v>0</v>
      </c>
      <c r="N48" s="793">
        <f t="shared" si="12"/>
        <v>0</v>
      </c>
      <c r="O48" s="793">
        <f t="shared" si="12"/>
        <v>0</v>
      </c>
      <c r="P48" s="793">
        <f t="shared" si="12"/>
        <v>0</v>
      </c>
      <c r="Q48" s="793">
        <f t="shared" si="12"/>
        <v>0</v>
      </c>
      <c r="R48" s="793">
        <f t="shared" si="12"/>
        <v>0</v>
      </c>
      <c r="S48" s="793">
        <f t="shared" si="12"/>
        <v>0</v>
      </c>
      <c r="T48" s="793">
        <f t="shared" si="12"/>
        <v>0</v>
      </c>
      <c r="U48" s="793">
        <f t="shared" si="12"/>
        <v>0</v>
      </c>
      <c r="V48" s="793">
        <f t="shared" si="12"/>
        <v>0</v>
      </c>
      <c r="W48" s="793">
        <f t="shared" si="12"/>
        <v>0</v>
      </c>
      <c r="X48" s="793">
        <f t="shared" si="12"/>
        <v>0</v>
      </c>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row>
    <row r="49" spans="2:73" s="35" customFormat="1">
      <c r="B49" s="1116"/>
      <c r="C49" s="1117"/>
      <c r="D49" s="1118" t="s">
        <v>84</v>
      </c>
      <c r="E49" s="1118" t="s">
        <v>162</v>
      </c>
      <c r="F49" s="1118"/>
      <c r="G49" s="1118"/>
      <c r="H49" s="783">
        <v>20510</v>
      </c>
      <c r="I49" s="784">
        <f t="shared" si="6"/>
        <v>0</v>
      </c>
      <c r="J49" s="1134"/>
      <c r="K49" s="1134"/>
      <c r="L49" s="1134"/>
      <c r="M49" s="1134"/>
      <c r="N49" s="1134"/>
      <c r="O49" s="1134"/>
      <c r="P49" s="1134"/>
      <c r="Q49" s="1134"/>
      <c r="R49" s="1134"/>
      <c r="S49" s="1134"/>
      <c r="T49" s="1134"/>
      <c r="U49" s="1134"/>
      <c r="V49" s="1134"/>
      <c r="W49" s="1134"/>
      <c r="X49" s="1134"/>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row>
    <row r="50" spans="2:73" s="35" customFormat="1">
      <c r="B50" s="1116"/>
      <c r="C50" s="1117"/>
      <c r="D50" s="1118" t="s">
        <v>100</v>
      </c>
      <c r="E50" s="1118" t="s">
        <v>101</v>
      </c>
      <c r="F50" s="1118"/>
      <c r="G50" s="1118"/>
      <c r="H50" s="783">
        <v>20590</v>
      </c>
      <c r="I50" s="784">
        <f t="shared" si="6"/>
        <v>0</v>
      </c>
      <c r="J50" s="1134"/>
      <c r="K50" s="1134"/>
      <c r="L50" s="1134"/>
      <c r="M50" s="1134"/>
      <c r="N50" s="1134"/>
      <c r="O50" s="1134"/>
      <c r="P50" s="1134"/>
      <c r="Q50" s="1134"/>
      <c r="R50" s="1134"/>
      <c r="S50" s="1134"/>
      <c r="T50" s="1134"/>
      <c r="U50" s="1134"/>
      <c r="V50" s="1134"/>
      <c r="W50" s="1134"/>
      <c r="X50" s="1134"/>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row>
    <row r="51" spans="2:73" s="35" customFormat="1">
      <c r="B51" s="1129"/>
      <c r="C51" s="1130" t="s">
        <v>116</v>
      </c>
      <c r="D51" s="1131" t="s">
        <v>167</v>
      </c>
      <c r="E51" s="1131"/>
      <c r="F51" s="1131"/>
      <c r="G51" s="1131"/>
      <c r="H51" s="790">
        <v>20700</v>
      </c>
      <c r="I51" s="791">
        <f t="shared" si="6"/>
        <v>0</v>
      </c>
      <c r="J51" s="969">
        <f>+SUM(J52:J53)</f>
        <v>0</v>
      </c>
      <c r="K51" s="969">
        <f t="shared" ref="K51:X51" si="13">+SUM(K52:K53)</f>
        <v>0</v>
      </c>
      <c r="L51" s="969">
        <f t="shared" si="13"/>
        <v>0</v>
      </c>
      <c r="M51" s="969">
        <f t="shared" si="13"/>
        <v>0</v>
      </c>
      <c r="N51" s="969">
        <f t="shared" si="13"/>
        <v>0</v>
      </c>
      <c r="O51" s="969">
        <f t="shared" si="13"/>
        <v>0</v>
      </c>
      <c r="P51" s="969">
        <f t="shared" si="13"/>
        <v>0</v>
      </c>
      <c r="Q51" s="969">
        <f t="shared" si="13"/>
        <v>0</v>
      </c>
      <c r="R51" s="969">
        <f t="shared" si="13"/>
        <v>0</v>
      </c>
      <c r="S51" s="969">
        <f t="shared" si="13"/>
        <v>0</v>
      </c>
      <c r="T51" s="969">
        <f t="shared" si="13"/>
        <v>0</v>
      </c>
      <c r="U51" s="969">
        <f t="shared" si="13"/>
        <v>0</v>
      </c>
      <c r="V51" s="969">
        <f t="shared" si="13"/>
        <v>0</v>
      </c>
      <c r="W51" s="969">
        <f t="shared" si="13"/>
        <v>0</v>
      </c>
      <c r="X51" s="969">
        <f t="shared" si="13"/>
        <v>0</v>
      </c>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row>
    <row r="52" spans="2:73" s="35" customFormat="1" ht="15" customHeight="1">
      <c r="B52" s="1116"/>
      <c r="C52" s="1117"/>
      <c r="D52" s="1118" t="s">
        <v>84</v>
      </c>
      <c r="E52" s="1236" t="s">
        <v>170</v>
      </c>
      <c r="F52" s="1236"/>
      <c r="G52" s="1236"/>
      <c r="H52" s="783">
        <v>20710</v>
      </c>
      <c r="I52" s="784">
        <f t="shared" si="6"/>
        <v>0</v>
      </c>
      <c r="J52" s="1134"/>
      <c r="K52" s="1134"/>
      <c r="L52" s="1134"/>
      <c r="M52" s="1134"/>
      <c r="N52" s="1134"/>
      <c r="O52" s="1134"/>
      <c r="P52" s="1134"/>
      <c r="Q52" s="1134"/>
      <c r="R52" s="1134"/>
      <c r="S52" s="1134"/>
      <c r="T52" s="1134"/>
      <c r="U52" s="1134"/>
      <c r="V52" s="1134"/>
      <c r="W52" s="1134"/>
      <c r="X52" s="1134"/>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row>
    <row r="53" spans="2:73" s="35" customFormat="1">
      <c r="B53" s="1116"/>
      <c r="C53" s="1117"/>
      <c r="D53" s="1118" t="s">
        <v>100</v>
      </c>
      <c r="E53" s="1118" t="s">
        <v>101</v>
      </c>
      <c r="F53" s="1118"/>
      <c r="G53" s="1118"/>
      <c r="H53" s="783">
        <v>20790</v>
      </c>
      <c r="I53" s="784">
        <f t="shared" si="6"/>
        <v>0</v>
      </c>
      <c r="J53" s="1134"/>
      <c r="K53" s="1134"/>
      <c r="L53" s="1134"/>
      <c r="M53" s="1134"/>
      <c r="N53" s="1134"/>
      <c r="O53" s="1134"/>
      <c r="P53" s="1134"/>
      <c r="Q53" s="1134"/>
      <c r="R53" s="1134"/>
      <c r="S53" s="1134"/>
      <c r="T53" s="1134"/>
      <c r="U53" s="1134"/>
      <c r="V53" s="1134"/>
      <c r="W53" s="1134"/>
      <c r="X53" s="1134"/>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row>
    <row r="54" spans="2:73" s="35" customFormat="1" ht="15" customHeight="1" thickBot="1">
      <c r="B54" s="763"/>
      <c r="C54" s="764" t="s">
        <v>124</v>
      </c>
      <c r="D54" s="765" t="s">
        <v>249</v>
      </c>
      <c r="E54" s="765"/>
      <c r="F54" s="765"/>
      <c r="G54" s="765"/>
      <c r="H54" s="795">
        <v>20600</v>
      </c>
      <c r="I54" s="796">
        <f t="shared" si="6"/>
        <v>0</v>
      </c>
      <c r="J54" s="757"/>
      <c r="K54" s="757"/>
      <c r="L54" s="757"/>
      <c r="M54" s="757"/>
      <c r="N54" s="757"/>
      <c r="O54" s="757"/>
      <c r="P54" s="757"/>
      <c r="Q54" s="757"/>
      <c r="R54" s="757"/>
      <c r="S54" s="757"/>
      <c r="T54" s="757"/>
      <c r="U54" s="757"/>
      <c r="V54" s="757"/>
      <c r="W54" s="757"/>
      <c r="X54" s="757"/>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row>
    <row r="55" spans="2:73" ht="15.75" thickBot="1">
      <c r="B55" s="324"/>
      <c r="C55" s="325"/>
      <c r="D55" s="325"/>
      <c r="E55" s="325"/>
      <c r="F55" s="325"/>
      <c r="G55" s="325"/>
      <c r="H55" s="326"/>
      <c r="I55" s="327"/>
      <c r="J55" s="328"/>
      <c r="K55" s="328"/>
      <c r="L55" s="328"/>
      <c r="M55" s="328"/>
      <c r="N55" s="328"/>
      <c r="O55" s="328"/>
      <c r="P55" s="329"/>
      <c r="Q55" s="329"/>
      <c r="R55" s="329"/>
      <c r="S55" s="329"/>
      <c r="T55" s="329"/>
      <c r="U55" s="329"/>
      <c r="V55" s="329"/>
      <c r="W55" s="329"/>
      <c r="X55" s="320"/>
    </row>
    <row r="56" spans="2:73" ht="15.75" thickBot="1">
      <c r="B56" s="330" t="s">
        <v>251</v>
      </c>
      <c r="C56" s="331"/>
      <c r="D56" s="331"/>
      <c r="E56" s="331"/>
      <c r="F56" s="331"/>
      <c r="G56" s="331"/>
      <c r="H56" s="295">
        <v>30000</v>
      </c>
      <c r="I56" s="313">
        <f>ROUND(SUM(J56:X56),0)</f>
        <v>442421</v>
      </c>
      <c r="J56" s="332">
        <f t="shared" ref="J56:X56" si="14">+J14-J34</f>
        <v>35297</v>
      </c>
      <c r="K56" s="332">
        <f t="shared" si="14"/>
        <v>0</v>
      </c>
      <c r="L56" s="332">
        <f t="shared" si="14"/>
        <v>-85</v>
      </c>
      <c r="M56" s="332">
        <f t="shared" si="14"/>
        <v>35678</v>
      </c>
      <c r="N56" s="332">
        <f t="shared" si="14"/>
        <v>29850</v>
      </c>
      <c r="O56" s="332">
        <f t="shared" si="14"/>
        <v>32060</v>
      </c>
      <c r="P56" s="332">
        <f t="shared" si="14"/>
        <v>40368</v>
      </c>
      <c r="Q56" s="332">
        <f t="shared" si="14"/>
        <v>74553</v>
      </c>
      <c r="R56" s="332">
        <f t="shared" si="14"/>
        <v>82289</v>
      </c>
      <c r="S56" s="332">
        <f t="shared" si="14"/>
        <v>51608</v>
      </c>
      <c r="T56" s="332">
        <f t="shared" si="14"/>
        <v>17668</v>
      </c>
      <c r="U56" s="332">
        <f t="shared" si="14"/>
        <v>43135</v>
      </c>
      <c r="V56" s="332">
        <f t="shared" si="14"/>
        <v>0</v>
      </c>
      <c r="W56" s="332">
        <f t="shared" si="14"/>
        <v>0</v>
      </c>
      <c r="X56" s="332">
        <f t="shared" si="14"/>
        <v>0</v>
      </c>
    </row>
    <row r="57" spans="2:73" ht="15.75" thickBot="1">
      <c r="B57" s="333"/>
      <c r="C57" s="325"/>
      <c r="D57" s="325"/>
      <c r="E57" s="325"/>
      <c r="F57" s="325"/>
      <c r="G57" s="325"/>
      <c r="H57" s="334"/>
      <c r="I57" s="335"/>
      <c r="J57" s="336"/>
      <c r="K57" s="336"/>
      <c r="L57" s="336"/>
      <c r="M57" s="336"/>
      <c r="N57" s="336"/>
      <c r="O57" s="336"/>
      <c r="P57" s="337"/>
      <c r="Q57" s="337"/>
      <c r="R57" s="337"/>
      <c r="S57" s="337"/>
      <c r="T57" s="337"/>
      <c r="U57" s="337"/>
      <c r="V57" s="337"/>
      <c r="W57" s="337"/>
      <c r="X57" s="338"/>
    </row>
    <row r="58" spans="2:73" s="36" customFormat="1">
      <c r="B58" s="339" t="s">
        <v>176</v>
      </c>
      <c r="C58" s="340" t="s">
        <v>177</v>
      </c>
      <c r="D58" s="341"/>
      <c r="E58" s="341"/>
      <c r="F58" s="341"/>
      <c r="G58" s="341"/>
      <c r="H58" s="279"/>
      <c r="I58" s="342"/>
      <c r="J58" s="343"/>
      <c r="K58" s="343"/>
      <c r="L58" s="343"/>
      <c r="M58" s="344"/>
      <c r="N58" s="343"/>
      <c r="O58" s="344"/>
      <c r="P58" s="345"/>
      <c r="Q58" s="343"/>
      <c r="R58" s="343"/>
      <c r="S58" s="343"/>
      <c r="T58" s="343"/>
      <c r="U58" s="343"/>
      <c r="V58" s="343"/>
      <c r="W58" s="343"/>
      <c r="X58" s="343"/>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row>
    <row r="59" spans="2:73">
      <c r="B59" s="1136" t="s">
        <v>65</v>
      </c>
      <c r="C59" s="1137" t="s">
        <v>181</v>
      </c>
      <c r="D59" s="1138"/>
      <c r="E59" s="1137"/>
      <c r="F59" s="1137"/>
      <c r="G59" s="1137"/>
      <c r="H59" s="768">
        <v>40000</v>
      </c>
      <c r="I59" s="791">
        <f t="shared" ref="I59:I66" si="15">ROUND(SUM(J59:X59),0)</f>
        <v>0</v>
      </c>
      <c r="J59" s="797">
        <f>+J60+J66</f>
        <v>0</v>
      </c>
      <c r="K59" s="797">
        <f t="shared" ref="K59:X59" si="16">+K60+K66</f>
        <v>0</v>
      </c>
      <c r="L59" s="797">
        <f t="shared" si="16"/>
        <v>0</v>
      </c>
      <c r="M59" s="797">
        <f t="shared" si="16"/>
        <v>0</v>
      </c>
      <c r="N59" s="797">
        <f t="shared" si="16"/>
        <v>0</v>
      </c>
      <c r="O59" s="797">
        <f t="shared" si="16"/>
        <v>0</v>
      </c>
      <c r="P59" s="798">
        <f t="shared" si="16"/>
        <v>0</v>
      </c>
      <c r="Q59" s="798">
        <f t="shared" si="16"/>
        <v>0</v>
      </c>
      <c r="R59" s="798">
        <f t="shared" si="16"/>
        <v>0</v>
      </c>
      <c r="S59" s="798">
        <f t="shared" si="16"/>
        <v>0</v>
      </c>
      <c r="T59" s="798">
        <f t="shared" si="16"/>
        <v>0</v>
      </c>
      <c r="U59" s="798">
        <f t="shared" si="16"/>
        <v>0</v>
      </c>
      <c r="V59" s="798">
        <f t="shared" si="16"/>
        <v>0</v>
      </c>
      <c r="W59" s="798">
        <f t="shared" si="16"/>
        <v>0</v>
      </c>
      <c r="X59" s="798">
        <f t="shared" si="16"/>
        <v>0</v>
      </c>
    </row>
    <row r="60" spans="2:73">
      <c r="B60" s="1139"/>
      <c r="C60" s="1140" t="s">
        <v>66</v>
      </c>
      <c r="D60" s="1138" t="s">
        <v>182</v>
      </c>
      <c r="E60" s="1138"/>
      <c r="F60" s="1138"/>
      <c r="G60" s="1138"/>
      <c r="H60" s="768">
        <v>40100</v>
      </c>
      <c r="I60" s="799">
        <f t="shared" si="15"/>
        <v>0</v>
      </c>
      <c r="J60" s="800">
        <f>+J61+J62+J65</f>
        <v>0</v>
      </c>
      <c r="K60" s="800">
        <f t="shared" ref="K60:X60" si="17">+K61+K62+K65</f>
        <v>0</v>
      </c>
      <c r="L60" s="800">
        <f t="shared" si="17"/>
        <v>0</v>
      </c>
      <c r="M60" s="800">
        <f t="shared" si="17"/>
        <v>0</v>
      </c>
      <c r="N60" s="800">
        <f t="shared" si="17"/>
        <v>0</v>
      </c>
      <c r="O60" s="800">
        <f t="shared" si="17"/>
        <v>0</v>
      </c>
      <c r="P60" s="800">
        <f t="shared" si="17"/>
        <v>0</v>
      </c>
      <c r="Q60" s="800">
        <f t="shared" si="17"/>
        <v>0</v>
      </c>
      <c r="R60" s="800">
        <f t="shared" si="17"/>
        <v>0</v>
      </c>
      <c r="S60" s="800">
        <f t="shared" si="17"/>
        <v>0</v>
      </c>
      <c r="T60" s="800">
        <f t="shared" si="17"/>
        <v>0</v>
      </c>
      <c r="U60" s="800">
        <f t="shared" si="17"/>
        <v>0</v>
      </c>
      <c r="V60" s="800">
        <f t="shared" si="17"/>
        <v>0</v>
      </c>
      <c r="W60" s="800">
        <f t="shared" si="17"/>
        <v>0</v>
      </c>
      <c r="X60" s="800">
        <f t="shared" si="17"/>
        <v>0</v>
      </c>
    </row>
    <row r="61" spans="2:73" s="37" customFormat="1">
      <c r="B61" s="1141"/>
      <c r="C61" s="1142"/>
      <c r="D61" s="1142" t="s">
        <v>84</v>
      </c>
      <c r="E61" s="1143" t="s">
        <v>184</v>
      </c>
      <c r="F61" s="1143"/>
      <c r="G61" s="1143"/>
      <c r="H61" s="1144">
        <v>40110</v>
      </c>
      <c r="I61" s="801">
        <f t="shared" si="15"/>
        <v>0</v>
      </c>
      <c r="J61" s="775"/>
      <c r="K61" s="775"/>
      <c r="L61" s="775"/>
      <c r="M61" s="775"/>
      <c r="N61" s="775"/>
      <c r="O61" s="775"/>
      <c r="P61" s="775"/>
      <c r="Q61" s="775"/>
      <c r="R61" s="775"/>
      <c r="S61" s="775"/>
      <c r="T61" s="775"/>
      <c r="U61" s="775"/>
      <c r="V61" s="775"/>
      <c r="W61" s="775"/>
      <c r="X61" s="775"/>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row>
    <row r="62" spans="2:73" s="37" customFormat="1">
      <c r="B62" s="1141"/>
      <c r="C62" s="1142"/>
      <c r="D62" s="1142" t="s">
        <v>100</v>
      </c>
      <c r="E62" s="1143" t="s">
        <v>188</v>
      </c>
      <c r="F62" s="1143"/>
      <c r="G62" s="1143"/>
      <c r="H62" s="1144">
        <v>40120</v>
      </c>
      <c r="I62" s="801">
        <f t="shared" si="15"/>
        <v>0</v>
      </c>
      <c r="J62" s="802">
        <f>+J63+J64</f>
        <v>0</v>
      </c>
      <c r="K62" s="802">
        <f t="shared" ref="K62:X62" si="18">+K63+K64</f>
        <v>0</v>
      </c>
      <c r="L62" s="802">
        <f t="shared" si="18"/>
        <v>0</v>
      </c>
      <c r="M62" s="802">
        <f t="shared" si="18"/>
        <v>0</v>
      </c>
      <c r="N62" s="802">
        <f t="shared" si="18"/>
        <v>0</v>
      </c>
      <c r="O62" s="802">
        <f t="shared" si="18"/>
        <v>0</v>
      </c>
      <c r="P62" s="802">
        <f t="shared" si="18"/>
        <v>0</v>
      </c>
      <c r="Q62" s="802">
        <f t="shared" si="18"/>
        <v>0</v>
      </c>
      <c r="R62" s="802">
        <f t="shared" si="18"/>
        <v>0</v>
      </c>
      <c r="S62" s="802">
        <f t="shared" si="18"/>
        <v>0</v>
      </c>
      <c r="T62" s="802">
        <f t="shared" si="18"/>
        <v>0</v>
      </c>
      <c r="U62" s="802">
        <f t="shared" si="18"/>
        <v>0</v>
      </c>
      <c r="V62" s="802">
        <f t="shared" si="18"/>
        <v>0</v>
      </c>
      <c r="W62" s="802">
        <f t="shared" si="18"/>
        <v>0</v>
      </c>
      <c r="X62" s="802">
        <f t="shared" si="18"/>
        <v>0</v>
      </c>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row>
    <row r="63" spans="2:73" s="37" customFormat="1">
      <c r="B63" s="1141"/>
      <c r="C63" s="1142"/>
      <c r="D63" s="1142"/>
      <c r="E63" s="1143" t="s">
        <v>87</v>
      </c>
      <c r="F63" s="1143" t="s">
        <v>191</v>
      </c>
      <c r="G63" s="1143"/>
      <c r="H63" s="1144">
        <v>40121</v>
      </c>
      <c r="I63" s="801">
        <f t="shared" si="15"/>
        <v>0</v>
      </c>
      <c r="J63" s="775"/>
      <c r="K63" s="775"/>
      <c r="L63" s="775"/>
      <c r="M63" s="775"/>
      <c r="N63" s="775"/>
      <c r="O63" s="775"/>
      <c r="P63" s="775"/>
      <c r="Q63" s="775"/>
      <c r="R63" s="775"/>
      <c r="S63" s="775"/>
      <c r="T63" s="775"/>
      <c r="U63" s="775"/>
      <c r="V63" s="775"/>
      <c r="W63" s="775"/>
      <c r="X63" s="775"/>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row>
    <row r="64" spans="2:73" s="37" customFormat="1">
      <c r="B64" s="1141"/>
      <c r="C64" s="1142"/>
      <c r="D64" s="1142"/>
      <c r="E64" s="1143" t="s">
        <v>90</v>
      </c>
      <c r="F64" s="1143" t="s">
        <v>193</v>
      </c>
      <c r="G64" s="1143"/>
      <c r="H64" s="1144">
        <v>40122</v>
      </c>
      <c r="I64" s="801">
        <f t="shared" si="15"/>
        <v>0</v>
      </c>
      <c r="J64" s="775"/>
      <c r="K64" s="775"/>
      <c r="L64" s="775"/>
      <c r="M64" s="775"/>
      <c r="N64" s="775"/>
      <c r="O64" s="775"/>
      <c r="P64" s="775"/>
      <c r="Q64" s="775"/>
      <c r="R64" s="775"/>
      <c r="S64" s="775"/>
      <c r="T64" s="775"/>
      <c r="U64" s="775"/>
      <c r="V64" s="775"/>
      <c r="W64" s="775"/>
      <c r="X64" s="775"/>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row>
    <row r="65" spans="2:73" s="37" customFormat="1">
      <c r="B65" s="1141"/>
      <c r="C65" s="1142"/>
      <c r="D65" s="1142" t="s">
        <v>137</v>
      </c>
      <c r="E65" s="1143" t="s">
        <v>101</v>
      </c>
      <c r="F65" s="1143"/>
      <c r="G65" s="1143"/>
      <c r="H65" s="1146">
        <v>40190</v>
      </c>
      <c r="I65" s="803">
        <f t="shared" si="15"/>
        <v>0</v>
      </c>
      <c r="J65" s="773"/>
      <c r="K65" s="773"/>
      <c r="L65" s="773"/>
      <c r="M65" s="773"/>
      <c r="N65" s="773"/>
      <c r="O65" s="773"/>
      <c r="P65" s="773"/>
      <c r="Q65" s="773"/>
      <c r="R65" s="773"/>
      <c r="S65" s="773"/>
      <c r="T65" s="773"/>
      <c r="U65" s="773"/>
      <c r="V65" s="773"/>
      <c r="W65" s="773"/>
      <c r="X65" s="773"/>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row>
    <row r="66" spans="2:73" s="37" customFormat="1">
      <c r="B66" s="1148"/>
      <c r="C66" s="1149" t="s">
        <v>73</v>
      </c>
      <c r="D66" s="1150" t="s">
        <v>196</v>
      </c>
      <c r="E66" s="1150"/>
      <c r="F66" s="1150"/>
      <c r="G66" s="1150"/>
      <c r="H66" s="1151">
        <v>40200</v>
      </c>
      <c r="I66" s="804">
        <f t="shared" si="15"/>
        <v>0</v>
      </c>
      <c r="J66" s="775"/>
      <c r="K66" s="775"/>
      <c r="L66" s="775"/>
      <c r="M66" s="775"/>
      <c r="N66" s="775"/>
      <c r="O66" s="775"/>
      <c r="P66" s="775"/>
      <c r="Q66" s="775"/>
      <c r="R66" s="775"/>
      <c r="S66" s="775"/>
      <c r="T66" s="775"/>
      <c r="U66" s="775"/>
      <c r="V66" s="775"/>
      <c r="W66" s="775"/>
      <c r="X66" s="775"/>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row>
    <row r="67" spans="2:73" s="37" customFormat="1">
      <c r="B67" s="1141"/>
      <c r="C67" s="1142"/>
      <c r="D67" s="1142"/>
      <c r="E67" s="1143"/>
      <c r="F67" s="1143"/>
      <c r="G67" s="1143"/>
      <c r="H67" s="1153"/>
      <c r="I67" s="805"/>
      <c r="J67" s="806"/>
      <c r="K67" s="806"/>
      <c r="L67" s="806"/>
      <c r="M67" s="806"/>
      <c r="N67" s="806"/>
      <c r="O67" s="806"/>
      <c r="P67" s="346"/>
      <c r="Q67" s="347"/>
      <c r="R67" s="347"/>
      <c r="S67" s="347"/>
      <c r="T67" s="347"/>
      <c r="U67" s="347"/>
      <c r="V67" s="347"/>
      <c r="W67" s="347"/>
      <c r="X67" s="34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row>
    <row r="68" spans="2:73" s="37" customFormat="1">
      <c r="B68" s="1156" t="s">
        <v>128</v>
      </c>
      <c r="C68" s="1157" t="s">
        <v>201</v>
      </c>
      <c r="D68" s="1150"/>
      <c r="E68" s="1157"/>
      <c r="F68" s="1157"/>
      <c r="G68" s="1157"/>
      <c r="H68" s="768">
        <v>50000</v>
      </c>
      <c r="I68" s="791">
        <f t="shared" ref="I68:I76" si="19">ROUND(SUM(J68:X68),0)</f>
        <v>0</v>
      </c>
      <c r="J68" s="797">
        <f>+J69+J76</f>
        <v>0</v>
      </c>
      <c r="K68" s="797">
        <f t="shared" ref="K68:X68" si="20">+K69+K76</f>
        <v>0</v>
      </c>
      <c r="L68" s="797">
        <f t="shared" si="20"/>
        <v>0</v>
      </c>
      <c r="M68" s="797">
        <f t="shared" si="20"/>
        <v>0</v>
      </c>
      <c r="N68" s="797">
        <f t="shared" si="20"/>
        <v>0</v>
      </c>
      <c r="O68" s="797">
        <f t="shared" si="20"/>
        <v>0</v>
      </c>
      <c r="P68" s="797">
        <f t="shared" si="20"/>
        <v>0</v>
      </c>
      <c r="Q68" s="797">
        <f t="shared" si="20"/>
        <v>0</v>
      </c>
      <c r="R68" s="797">
        <f t="shared" si="20"/>
        <v>0</v>
      </c>
      <c r="S68" s="797">
        <f t="shared" si="20"/>
        <v>0</v>
      </c>
      <c r="T68" s="797">
        <f t="shared" si="20"/>
        <v>0</v>
      </c>
      <c r="U68" s="797">
        <f t="shared" si="20"/>
        <v>0</v>
      </c>
      <c r="V68" s="797">
        <f t="shared" si="20"/>
        <v>0</v>
      </c>
      <c r="W68" s="797">
        <f t="shared" si="20"/>
        <v>0</v>
      </c>
      <c r="X68" s="797">
        <f t="shared" si="20"/>
        <v>0</v>
      </c>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row>
    <row r="69" spans="2:73" s="37" customFormat="1">
      <c r="B69" s="1148"/>
      <c r="C69" s="1149" t="s">
        <v>66</v>
      </c>
      <c r="D69" s="1150" t="s">
        <v>182</v>
      </c>
      <c r="E69" s="1150"/>
      <c r="F69" s="1150"/>
      <c r="G69" s="1150"/>
      <c r="H69" s="768">
        <v>50100</v>
      </c>
      <c r="I69" s="799">
        <f t="shared" si="19"/>
        <v>0</v>
      </c>
      <c r="J69" s="800">
        <f>+J70+J71+J72+J75</f>
        <v>0</v>
      </c>
      <c r="K69" s="800">
        <f t="shared" ref="K69:X69" si="21">+K70+K71+K72+K75</f>
        <v>0</v>
      </c>
      <c r="L69" s="800">
        <f t="shared" si="21"/>
        <v>0</v>
      </c>
      <c r="M69" s="800">
        <f t="shared" si="21"/>
        <v>0</v>
      </c>
      <c r="N69" s="800">
        <f t="shared" si="21"/>
        <v>0</v>
      </c>
      <c r="O69" s="800">
        <f t="shared" si="21"/>
        <v>0</v>
      </c>
      <c r="P69" s="800">
        <f t="shared" si="21"/>
        <v>0</v>
      </c>
      <c r="Q69" s="800">
        <f t="shared" si="21"/>
        <v>0</v>
      </c>
      <c r="R69" s="800">
        <f t="shared" si="21"/>
        <v>0</v>
      </c>
      <c r="S69" s="800">
        <f t="shared" si="21"/>
        <v>0</v>
      </c>
      <c r="T69" s="800">
        <f t="shared" si="21"/>
        <v>0</v>
      </c>
      <c r="U69" s="800">
        <f t="shared" si="21"/>
        <v>0</v>
      </c>
      <c r="V69" s="800">
        <f t="shared" si="21"/>
        <v>0</v>
      </c>
      <c r="W69" s="800">
        <f t="shared" si="21"/>
        <v>0</v>
      </c>
      <c r="X69" s="800">
        <f t="shared" si="21"/>
        <v>0</v>
      </c>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row>
    <row r="70" spans="2:73" s="37" customFormat="1">
      <c r="B70" s="1141"/>
      <c r="C70" s="1143"/>
      <c r="D70" s="1142" t="s">
        <v>84</v>
      </c>
      <c r="E70" s="1143" t="s">
        <v>202</v>
      </c>
      <c r="F70" s="1143"/>
      <c r="G70" s="1143"/>
      <c r="H70" s="1144">
        <v>50110</v>
      </c>
      <c r="I70" s="801">
        <f t="shared" si="19"/>
        <v>0</v>
      </c>
      <c r="J70" s="775"/>
      <c r="K70" s="775"/>
      <c r="L70" s="775"/>
      <c r="M70" s="775"/>
      <c r="N70" s="775"/>
      <c r="O70" s="775"/>
      <c r="P70" s="775"/>
      <c r="Q70" s="775"/>
      <c r="R70" s="775"/>
      <c r="S70" s="775"/>
      <c r="T70" s="775"/>
      <c r="U70" s="775"/>
      <c r="V70" s="775"/>
      <c r="W70" s="775"/>
      <c r="X70" s="775"/>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row>
    <row r="71" spans="2:73" s="37" customFormat="1">
      <c r="B71" s="1141"/>
      <c r="C71" s="1143"/>
      <c r="D71" s="1142" t="s">
        <v>100</v>
      </c>
      <c r="E71" s="1143" t="s">
        <v>252</v>
      </c>
      <c r="F71" s="1143"/>
      <c r="G71" s="1143"/>
      <c r="H71" s="1144">
        <v>50120</v>
      </c>
      <c r="I71" s="801">
        <f t="shared" si="19"/>
        <v>0</v>
      </c>
      <c r="J71" s="775"/>
      <c r="K71" s="775"/>
      <c r="L71" s="775"/>
      <c r="M71" s="775"/>
      <c r="N71" s="775"/>
      <c r="O71" s="775"/>
      <c r="P71" s="775"/>
      <c r="Q71" s="775"/>
      <c r="R71" s="775"/>
      <c r="S71" s="775"/>
      <c r="T71" s="775"/>
      <c r="U71" s="775"/>
      <c r="V71" s="775"/>
      <c r="W71" s="775"/>
      <c r="X71" s="775"/>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row>
    <row r="72" spans="2:73" s="37" customFormat="1">
      <c r="B72" s="1141"/>
      <c r="C72" s="1143"/>
      <c r="D72" s="1142" t="s">
        <v>137</v>
      </c>
      <c r="E72" s="1143" t="s">
        <v>208</v>
      </c>
      <c r="F72" s="1143"/>
      <c r="G72" s="1143"/>
      <c r="H72" s="1144">
        <v>50130</v>
      </c>
      <c r="I72" s="801">
        <f t="shared" si="19"/>
        <v>0</v>
      </c>
      <c r="J72" s="802">
        <f>+J73+J74</f>
        <v>0</v>
      </c>
      <c r="K72" s="802">
        <f t="shared" ref="K72:X72" si="22">+K73+K74</f>
        <v>0</v>
      </c>
      <c r="L72" s="802">
        <f t="shared" si="22"/>
        <v>0</v>
      </c>
      <c r="M72" s="802">
        <f t="shared" si="22"/>
        <v>0</v>
      </c>
      <c r="N72" s="802">
        <f t="shared" si="22"/>
        <v>0</v>
      </c>
      <c r="O72" s="802">
        <f t="shared" si="22"/>
        <v>0</v>
      </c>
      <c r="P72" s="807">
        <f t="shared" si="22"/>
        <v>0</v>
      </c>
      <c r="Q72" s="807">
        <f t="shared" si="22"/>
        <v>0</v>
      </c>
      <c r="R72" s="807">
        <f t="shared" si="22"/>
        <v>0</v>
      </c>
      <c r="S72" s="807">
        <f t="shared" si="22"/>
        <v>0</v>
      </c>
      <c r="T72" s="807">
        <f t="shared" si="22"/>
        <v>0</v>
      </c>
      <c r="U72" s="807">
        <f t="shared" si="22"/>
        <v>0</v>
      </c>
      <c r="V72" s="807">
        <f t="shared" si="22"/>
        <v>0</v>
      </c>
      <c r="W72" s="807">
        <f t="shared" si="22"/>
        <v>0</v>
      </c>
      <c r="X72" s="807">
        <f t="shared" si="22"/>
        <v>0</v>
      </c>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row>
    <row r="73" spans="2:73" s="37" customFormat="1">
      <c r="B73" s="1141"/>
      <c r="C73" s="1142"/>
      <c r="D73" s="1142"/>
      <c r="E73" s="1142" t="s">
        <v>87</v>
      </c>
      <c r="F73" s="1143" t="s">
        <v>191</v>
      </c>
      <c r="G73" s="1143"/>
      <c r="H73" s="1144">
        <v>50131</v>
      </c>
      <c r="I73" s="801">
        <f t="shared" si="19"/>
        <v>0</v>
      </c>
      <c r="J73" s="775"/>
      <c r="K73" s="775"/>
      <c r="L73" s="775"/>
      <c r="M73" s="775"/>
      <c r="N73" s="775"/>
      <c r="O73" s="775"/>
      <c r="P73" s="775"/>
      <c r="Q73" s="775"/>
      <c r="R73" s="775"/>
      <c r="S73" s="775"/>
      <c r="T73" s="775"/>
      <c r="U73" s="775"/>
      <c r="V73" s="775"/>
      <c r="W73" s="775"/>
      <c r="X73" s="775"/>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row>
    <row r="74" spans="2:73" s="37" customFormat="1">
      <c r="B74" s="1141"/>
      <c r="C74" s="1142"/>
      <c r="D74" s="1142"/>
      <c r="E74" s="1142" t="s">
        <v>90</v>
      </c>
      <c r="F74" s="1143" t="s">
        <v>193</v>
      </c>
      <c r="G74" s="1143"/>
      <c r="H74" s="1144">
        <v>50132</v>
      </c>
      <c r="I74" s="801">
        <f t="shared" si="19"/>
        <v>0</v>
      </c>
      <c r="J74" s="775"/>
      <c r="K74" s="775"/>
      <c r="L74" s="775"/>
      <c r="M74" s="775"/>
      <c r="N74" s="775"/>
      <c r="O74" s="775"/>
      <c r="P74" s="775"/>
      <c r="Q74" s="775"/>
      <c r="R74" s="775"/>
      <c r="S74" s="775"/>
      <c r="T74" s="775"/>
      <c r="U74" s="775"/>
      <c r="V74" s="775"/>
      <c r="W74" s="775"/>
      <c r="X74" s="775"/>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row>
    <row r="75" spans="2:73" s="37" customFormat="1">
      <c r="B75" s="1141"/>
      <c r="C75" s="1143"/>
      <c r="D75" s="1142" t="s">
        <v>210</v>
      </c>
      <c r="E75" s="1143" t="s">
        <v>101</v>
      </c>
      <c r="F75" s="1143"/>
      <c r="G75" s="1143"/>
      <c r="H75" s="1144">
        <v>50190</v>
      </c>
      <c r="I75" s="801">
        <f t="shared" si="19"/>
        <v>0</v>
      </c>
      <c r="J75" s="773"/>
      <c r="K75" s="773"/>
      <c r="L75" s="773"/>
      <c r="M75" s="773"/>
      <c r="N75" s="773"/>
      <c r="O75" s="773"/>
      <c r="P75" s="773"/>
      <c r="Q75" s="773"/>
      <c r="R75" s="773"/>
      <c r="S75" s="773"/>
      <c r="T75" s="773"/>
      <c r="U75" s="773"/>
      <c r="V75" s="773"/>
      <c r="W75" s="773"/>
      <c r="X75" s="773"/>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row>
    <row r="76" spans="2:73" s="37" customFormat="1">
      <c r="B76" s="1148"/>
      <c r="C76" s="1149" t="s">
        <v>73</v>
      </c>
      <c r="D76" s="1150" t="s">
        <v>212</v>
      </c>
      <c r="E76" s="1150"/>
      <c r="F76" s="1150"/>
      <c r="G76" s="1150"/>
      <c r="H76" s="768">
        <v>50200</v>
      </c>
      <c r="I76" s="799">
        <f t="shared" si="19"/>
        <v>0</v>
      </c>
      <c r="J76" s="773"/>
      <c r="K76" s="773"/>
      <c r="L76" s="773"/>
      <c r="M76" s="773"/>
      <c r="N76" s="773"/>
      <c r="O76" s="773"/>
      <c r="P76" s="773"/>
      <c r="Q76" s="773"/>
      <c r="R76" s="773"/>
      <c r="S76" s="773"/>
      <c r="T76" s="773"/>
      <c r="U76" s="773"/>
      <c r="V76" s="773"/>
      <c r="W76" s="773"/>
      <c r="X76" s="773"/>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row>
    <row r="77" spans="2:73" ht="9" customHeight="1" thickBot="1">
      <c r="B77" s="777"/>
      <c r="C77" s="778"/>
      <c r="D77" s="778"/>
      <c r="E77" s="778"/>
      <c r="F77" s="778"/>
      <c r="G77" s="778"/>
      <c r="H77" s="779"/>
      <c r="I77" s="808"/>
      <c r="J77" s="809"/>
      <c r="K77" s="809"/>
      <c r="L77" s="809"/>
      <c r="M77" s="809"/>
      <c r="N77" s="809"/>
      <c r="O77" s="809"/>
      <c r="P77" s="348"/>
      <c r="Q77" s="348"/>
      <c r="R77" s="348"/>
      <c r="S77" s="348"/>
      <c r="T77" s="348"/>
      <c r="U77" s="348"/>
      <c r="V77" s="348"/>
      <c r="W77" s="348"/>
      <c r="X77" s="348"/>
    </row>
    <row r="78" spans="2:73" ht="15.75" thickBot="1">
      <c r="B78" s="349" t="s">
        <v>253</v>
      </c>
      <c r="C78" s="350"/>
      <c r="D78" s="350"/>
      <c r="E78" s="350"/>
      <c r="F78" s="350"/>
      <c r="G78" s="350"/>
      <c r="H78" s="351">
        <v>60000</v>
      </c>
      <c r="I78" s="313">
        <f>ROUND(SUM(J78:X78),0)</f>
        <v>0</v>
      </c>
      <c r="J78" s="352">
        <f>+J59-J68</f>
        <v>0</v>
      </c>
      <c r="K78" s="352">
        <f t="shared" ref="K78:X78" si="23">+K59-K68</f>
        <v>0</v>
      </c>
      <c r="L78" s="352">
        <f t="shared" si="23"/>
        <v>0</v>
      </c>
      <c r="M78" s="353">
        <f t="shared" si="23"/>
        <v>0</v>
      </c>
      <c r="N78" s="352">
        <f t="shared" si="23"/>
        <v>0</v>
      </c>
      <c r="O78" s="353">
        <f t="shared" si="23"/>
        <v>0</v>
      </c>
      <c r="P78" s="354">
        <f t="shared" si="23"/>
        <v>0</v>
      </c>
      <c r="Q78" s="354">
        <f t="shared" si="23"/>
        <v>0</v>
      </c>
      <c r="R78" s="354">
        <f t="shared" si="23"/>
        <v>0</v>
      </c>
      <c r="S78" s="354">
        <f t="shared" si="23"/>
        <v>0</v>
      </c>
      <c r="T78" s="354">
        <f t="shared" si="23"/>
        <v>0</v>
      </c>
      <c r="U78" s="354">
        <f t="shared" si="23"/>
        <v>0</v>
      </c>
      <c r="V78" s="354">
        <f t="shared" si="23"/>
        <v>0</v>
      </c>
      <c r="W78" s="354">
        <f t="shared" si="23"/>
        <v>0</v>
      </c>
      <c r="X78" s="355">
        <f t="shared" si="23"/>
        <v>0</v>
      </c>
    </row>
    <row r="79" spans="2:73" ht="15.75" thickBot="1">
      <c r="B79" s="325"/>
      <c r="C79" s="356"/>
      <c r="D79" s="356"/>
      <c r="E79" s="325"/>
      <c r="F79" s="325"/>
      <c r="G79" s="325"/>
      <c r="H79" s="334"/>
      <c r="I79" s="357"/>
      <c r="J79" s="336"/>
      <c r="K79" s="336"/>
      <c r="L79" s="336"/>
      <c r="M79" s="336"/>
      <c r="N79" s="336"/>
      <c r="O79" s="336"/>
      <c r="P79" s="348"/>
      <c r="Q79" s="348"/>
      <c r="R79" s="348"/>
      <c r="S79" s="348"/>
      <c r="T79" s="348"/>
      <c r="U79" s="348"/>
      <c r="V79" s="348"/>
      <c r="W79" s="348"/>
      <c r="X79" s="348"/>
    </row>
    <row r="80" spans="2:73" s="36" customFormat="1" ht="15.75" thickBot="1">
      <c r="B80" s="349" t="s">
        <v>217</v>
      </c>
      <c r="C80" s="350"/>
      <c r="D80" s="350"/>
      <c r="E80" s="350"/>
      <c r="F80" s="350"/>
      <c r="G80" s="350"/>
      <c r="H80" s="351">
        <v>70000</v>
      </c>
      <c r="I80" s="313">
        <v>0</v>
      </c>
      <c r="J80" s="352">
        <f t="shared" ref="J80:X80" si="24">+J56+J78</f>
        <v>35297</v>
      </c>
      <c r="K80" s="352">
        <f t="shared" si="24"/>
        <v>0</v>
      </c>
      <c r="L80" s="352">
        <f t="shared" si="24"/>
        <v>-85</v>
      </c>
      <c r="M80" s="353">
        <f t="shared" si="24"/>
        <v>35678</v>
      </c>
      <c r="N80" s="352">
        <f t="shared" si="24"/>
        <v>29850</v>
      </c>
      <c r="O80" s="353">
        <f t="shared" si="24"/>
        <v>32060</v>
      </c>
      <c r="P80" s="354">
        <f t="shared" si="24"/>
        <v>40368</v>
      </c>
      <c r="Q80" s="354">
        <f t="shared" si="24"/>
        <v>74553</v>
      </c>
      <c r="R80" s="354">
        <f t="shared" si="24"/>
        <v>82289</v>
      </c>
      <c r="S80" s="354">
        <f t="shared" si="24"/>
        <v>51608</v>
      </c>
      <c r="T80" s="354">
        <f t="shared" si="24"/>
        <v>17668</v>
      </c>
      <c r="U80" s="354">
        <f t="shared" si="24"/>
        <v>43135</v>
      </c>
      <c r="V80" s="354">
        <f t="shared" si="24"/>
        <v>0</v>
      </c>
      <c r="W80" s="354">
        <f t="shared" si="24"/>
        <v>0</v>
      </c>
      <c r="X80" s="355">
        <f t="shared" si="24"/>
        <v>0</v>
      </c>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row>
    <row r="81" spans="2:73" s="36" customFormat="1" ht="9.75" customHeight="1" thickBot="1">
      <c r="B81" s="358"/>
      <c r="C81" s="325"/>
      <c r="D81" s="325"/>
      <c r="E81" s="325"/>
      <c r="F81" s="325"/>
      <c r="G81" s="325"/>
      <c r="H81" s="334"/>
      <c r="I81" s="357"/>
      <c r="J81" s="336"/>
      <c r="K81" s="336"/>
      <c r="L81" s="336"/>
      <c r="M81" s="336"/>
      <c r="N81" s="336"/>
      <c r="O81" s="336"/>
      <c r="P81" s="359"/>
      <c r="Q81" s="359"/>
      <c r="R81" s="359"/>
      <c r="S81" s="359"/>
      <c r="T81" s="359"/>
      <c r="U81" s="359"/>
      <c r="V81" s="359"/>
      <c r="W81" s="359"/>
      <c r="X81" s="359"/>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row>
    <row r="82" spans="2:73" ht="15.75" thickBot="1">
      <c r="B82" s="349" t="s">
        <v>218</v>
      </c>
      <c r="C82" s="350"/>
      <c r="D82" s="350"/>
      <c r="E82" s="350"/>
      <c r="F82" s="350"/>
      <c r="G82" s="360"/>
      <c r="H82" s="351">
        <v>80000</v>
      </c>
      <c r="I82" s="313">
        <f>+I80</f>
        <v>0</v>
      </c>
      <c r="J82" s="352">
        <f t="shared" ref="J82:X82" si="25">+I82+J80</f>
        <v>35297</v>
      </c>
      <c r="K82" s="352">
        <f t="shared" si="25"/>
        <v>35297</v>
      </c>
      <c r="L82" s="352">
        <f t="shared" si="25"/>
        <v>35212</v>
      </c>
      <c r="M82" s="352">
        <f t="shared" si="25"/>
        <v>70890</v>
      </c>
      <c r="N82" s="352">
        <f t="shared" si="25"/>
        <v>100740</v>
      </c>
      <c r="O82" s="352">
        <f t="shared" si="25"/>
        <v>132800</v>
      </c>
      <c r="P82" s="361">
        <f t="shared" si="25"/>
        <v>173168</v>
      </c>
      <c r="Q82" s="361">
        <f t="shared" si="25"/>
        <v>247721</v>
      </c>
      <c r="R82" s="361">
        <f t="shared" si="25"/>
        <v>330010</v>
      </c>
      <c r="S82" s="361">
        <f t="shared" si="25"/>
        <v>381618</v>
      </c>
      <c r="T82" s="361">
        <f t="shared" si="25"/>
        <v>399286</v>
      </c>
      <c r="U82" s="361">
        <f t="shared" si="25"/>
        <v>442421</v>
      </c>
      <c r="V82" s="361">
        <f t="shared" si="25"/>
        <v>442421</v>
      </c>
      <c r="W82" s="361">
        <f t="shared" si="25"/>
        <v>442421</v>
      </c>
      <c r="X82" s="361">
        <f t="shared" si="25"/>
        <v>442421</v>
      </c>
    </row>
    <row r="83" spans="2:73">
      <c r="B83" s="362"/>
      <c r="C83" s="362"/>
      <c r="D83" s="362"/>
      <c r="E83" s="362"/>
      <c r="F83" s="362"/>
      <c r="G83" s="362"/>
      <c r="H83" s="363"/>
      <c r="I83" s="364"/>
      <c r="J83" s="362"/>
      <c r="K83" s="362"/>
      <c r="L83" s="362"/>
      <c r="M83" s="362"/>
      <c r="N83" s="362"/>
      <c r="O83" s="362"/>
      <c r="P83" s="362"/>
      <c r="Q83" s="362"/>
      <c r="R83" s="362"/>
      <c r="S83" s="362"/>
      <c r="T83" s="362"/>
      <c r="U83" s="362"/>
      <c r="V83" s="362"/>
      <c r="W83" s="362"/>
      <c r="X83" s="362"/>
    </row>
    <row r="85" spans="2:73" s="37" customFormat="1" ht="31.5" customHeight="1">
      <c r="C85" s="226" t="s">
        <v>219</v>
      </c>
      <c r="D85" s="1247" t="s">
        <v>220</v>
      </c>
      <c r="E85" s="1247"/>
      <c r="F85" s="1247"/>
      <c r="G85" s="1247"/>
      <c r="H85" s="1247"/>
      <c r="I85" s="1247"/>
      <c r="J85" s="1247"/>
      <c r="K85" s="1247"/>
      <c r="L85" s="1247"/>
      <c r="P85" s="1171"/>
      <c r="Q85" s="1171"/>
      <c r="R85" s="1171"/>
      <c r="S85" s="1171"/>
      <c r="T85" s="1171"/>
      <c r="U85" s="1233" t="s">
        <v>254</v>
      </c>
      <c r="V85" s="1233"/>
      <c r="W85" s="1233"/>
      <c r="X85" s="1233"/>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row>
    <row r="86" spans="2:73" s="37" customFormat="1" ht="16.5">
      <c r="C86" s="226" t="s">
        <v>221</v>
      </c>
      <c r="D86" s="37" t="s">
        <v>222</v>
      </c>
      <c r="H86" s="365"/>
      <c r="I86" s="366"/>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row>
    <row r="87" spans="2:73" s="37" customFormat="1" ht="16.5" customHeight="1">
      <c r="C87" s="226" t="s">
        <v>223</v>
      </c>
      <c r="D87" s="37" t="s">
        <v>224</v>
      </c>
      <c r="H87" s="365"/>
      <c r="I87" s="366"/>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row>
    <row r="88" spans="2:73" s="37" customFormat="1" ht="16.5">
      <c r="C88" s="226" t="s">
        <v>225</v>
      </c>
      <c r="D88" s="37" t="s">
        <v>226</v>
      </c>
      <c r="H88" s="365"/>
      <c r="I88" s="366"/>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row>
    <row r="89" spans="2:73" s="37" customFormat="1" ht="16.5">
      <c r="C89" s="226" t="s">
        <v>227</v>
      </c>
      <c r="D89" s="37" t="s">
        <v>228</v>
      </c>
      <c r="H89" s="365"/>
      <c r="I89" s="366"/>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row>
    <row r="90" spans="2:73" s="37" customFormat="1" ht="16.5">
      <c r="C90" s="226" t="s">
        <v>229</v>
      </c>
      <c r="D90" s="37" t="s">
        <v>230</v>
      </c>
      <c r="H90" s="365"/>
      <c r="I90" s="366"/>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row>
    <row r="92" spans="2:73">
      <c r="C92" s="367" t="s">
        <v>255</v>
      </c>
    </row>
    <row r="97" spans="2:24" ht="15.75" thickBot="1"/>
    <row r="98" spans="2:24" ht="51.75" customHeight="1" thickBot="1">
      <c r="B98" s="368" t="s">
        <v>256</v>
      </c>
      <c r="C98" s="350"/>
      <c r="D98" s="350"/>
      <c r="E98" s="350"/>
      <c r="F98" s="350"/>
      <c r="G98" s="369"/>
    </row>
    <row r="99" spans="2:24" ht="15" customHeight="1">
      <c r="B99" s="370" t="s">
        <v>231</v>
      </c>
      <c r="C99" s="1246" t="s">
        <v>257</v>
      </c>
      <c r="D99" s="1246"/>
      <c r="E99" s="1246"/>
      <c r="F99" s="1246"/>
      <c r="G99" s="1246"/>
      <c r="H99" s="371"/>
    </row>
    <row r="100" spans="2:24" ht="51.75" customHeight="1">
      <c r="B100" s="37"/>
      <c r="C100" s="1247"/>
      <c r="D100" s="1247"/>
      <c r="E100" s="1247"/>
      <c r="F100" s="1247"/>
      <c r="G100" s="1247"/>
      <c r="H100" s="371"/>
    </row>
    <row r="101" spans="2:24" ht="15" customHeight="1">
      <c r="B101" s="37"/>
      <c r="C101" s="1247"/>
      <c r="D101" s="1247"/>
      <c r="E101" s="1247"/>
      <c r="F101" s="1247"/>
      <c r="G101" s="1247"/>
      <c r="H101" s="371"/>
    </row>
    <row r="102" spans="2:24">
      <c r="B102" s="37"/>
      <c r="C102" s="1247"/>
      <c r="D102" s="1247"/>
      <c r="E102" s="1247"/>
      <c r="F102" s="1247"/>
      <c r="G102" s="1247"/>
      <c r="H102" s="371"/>
    </row>
    <row r="103" spans="2:24" ht="54" customHeight="1">
      <c r="B103" s="370" t="s">
        <v>231</v>
      </c>
      <c r="C103" s="1247" t="s">
        <v>258</v>
      </c>
      <c r="D103" s="1247"/>
      <c r="E103" s="1247"/>
      <c r="F103" s="1247"/>
      <c r="G103" s="1247"/>
      <c r="H103" s="371"/>
      <c r="I103" s="372"/>
      <c r="J103" s="373"/>
      <c r="K103" s="373"/>
      <c r="L103" s="373"/>
      <c r="M103" s="373"/>
      <c r="N103" s="373"/>
      <c r="O103" s="373"/>
      <c r="P103" s="373"/>
      <c r="Q103" s="373"/>
      <c r="R103" s="373"/>
      <c r="S103" s="373"/>
      <c r="T103" s="373"/>
      <c r="U103" s="373"/>
      <c r="V103" s="373"/>
      <c r="W103" s="373"/>
      <c r="X103" s="373"/>
    </row>
    <row r="104" spans="2:24">
      <c r="B104" s="37"/>
      <c r="C104" s="1247"/>
      <c r="D104" s="1247"/>
      <c r="E104" s="1247"/>
      <c r="F104" s="1247"/>
      <c r="G104" s="1247"/>
      <c r="H104" s="371"/>
      <c r="I104" s="372"/>
      <c r="J104" s="373"/>
      <c r="K104" s="373"/>
      <c r="L104" s="373"/>
      <c r="M104" s="373"/>
      <c r="N104" s="373"/>
      <c r="O104" s="373"/>
      <c r="P104" s="373"/>
      <c r="Q104" s="373"/>
      <c r="R104" s="373"/>
      <c r="S104" s="373"/>
      <c r="T104" s="373"/>
      <c r="U104" s="373"/>
      <c r="V104" s="373"/>
      <c r="W104" s="373"/>
      <c r="X104" s="373"/>
    </row>
    <row r="105" spans="2:24" ht="15" customHeight="1">
      <c r="B105" s="37"/>
      <c r="C105" s="1247"/>
      <c r="D105" s="1247"/>
      <c r="E105" s="1247"/>
      <c r="F105" s="1247"/>
      <c r="G105" s="1247"/>
      <c r="H105" s="371"/>
      <c r="I105" s="372"/>
      <c r="J105" s="373"/>
      <c r="K105" s="373"/>
      <c r="L105" s="373"/>
      <c r="M105" s="373"/>
      <c r="N105" s="373"/>
      <c r="O105" s="373"/>
      <c r="P105" s="373"/>
      <c r="Q105" s="373"/>
      <c r="R105" s="373"/>
      <c r="S105" s="373"/>
      <c r="T105" s="373"/>
      <c r="U105" s="373"/>
      <c r="V105" s="373"/>
      <c r="W105" s="373"/>
      <c r="X105" s="373"/>
    </row>
    <row r="106" spans="2:24">
      <c r="B106" s="37"/>
      <c r="C106" s="1247"/>
      <c r="D106" s="1247"/>
      <c r="E106" s="1247"/>
      <c r="F106" s="1247"/>
      <c r="G106" s="1247"/>
      <c r="H106" s="371"/>
      <c r="I106" s="372"/>
      <c r="J106" s="373"/>
      <c r="K106" s="373"/>
      <c r="L106" s="373"/>
      <c r="M106" s="373"/>
      <c r="N106" s="373"/>
      <c r="O106" s="373"/>
      <c r="P106" s="373"/>
      <c r="Q106" s="373"/>
      <c r="R106" s="373"/>
      <c r="S106" s="373"/>
      <c r="T106" s="373"/>
      <c r="U106" s="373"/>
      <c r="V106" s="373"/>
      <c r="W106" s="373"/>
      <c r="X106" s="373"/>
    </row>
    <row r="107" spans="2:24" ht="8.25" customHeight="1"/>
    <row r="108" spans="2:24" ht="15" customHeight="1">
      <c r="B108" s="374" t="s">
        <v>231</v>
      </c>
      <c r="C108" s="1247" t="s">
        <v>259</v>
      </c>
      <c r="D108" s="1247"/>
      <c r="E108" s="1247"/>
      <c r="F108" s="1247"/>
      <c r="G108" s="1247"/>
      <c r="H108" s="371"/>
    </row>
    <row r="109" spans="2:24" ht="14.25" customHeight="1">
      <c r="C109" s="1247"/>
      <c r="D109" s="1247"/>
      <c r="E109" s="1247"/>
      <c r="F109" s="1247"/>
      <c r="G109" s="1247"/>
      <c r="H109" s="371"/>
    </row>
    <row r="110" spans="2:24" ht="14.25" customHeight="1">
      <c r="C110" s="1247"/>
      <c r="D110" s="1247"/>
      <c r="E110" s="1247"/>
      <c r="F110" s="1247"/>
      <c r="G110" s="1247"/>
      <c r="H110" s="371"/>
    </row>
    <row r="111" spans="2:24" ht="14.25" customHeight="1">
      <c r="C111" s="1247"/>
      <c r="D111" s="1247"/>
      <c r="E111" s="1247"/>
      <c r="F111" s="1247"/>
      <c r="G111" s="1247"/>
      <c r="H111" s="371"/>
    </row>
    <row r="112" spans="2:24" ht="14.25" customHeight="1">
      <c r="C112" s="1247"/>
      <c r="D112" s="1247"/>
      <c r="E112" s="1247"/>
      <c r="F112" s="1247"/>
      <c r="G112" s="1247"/>
      <c r="H112" s="371"/>
    </row>
    <row r="113" spans="3:73" s="32" customFormat="1" ht="14.25" customHeight="1">
      <c r="C113" s="1247"/>
      <c r="D113" s="1247"/>
      <c r="E113" s="1247"/>
      <c r="F113" s="1247"/>
      <c r="G113" s="1247"/>
      <c r="H113" s="371"/>
      <c r="J113" s="31"/>
      <c r="K113" s="31"/>
      <c r="L113" s="31"/>
      <c r="M113" s="31"/>
      <c r="N113" s="31"/>
      <c r="O113" s="31"/>
      <c r="P113" s="31"/>
      <c r="Q113" s="31"/>
      <c r="R113" s="31"/>
      <c r="S113" s="31"/>
      <c r="T113" s="31"/>
      <c r="U113" s="31"/>
      <c r="V113" s="31"/>
      <c r="W113" s="31"/>
      <c r="X113" s="31"/>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row>
    <row r="114" spans="3:73" s="32" customFormat="1" ht="14.25" customHeight="1">
      <c r="C114" s="1247"/>
      <c r="D114" s="1247"/>
      <c r="E114" s="1247"/>
      <c r="F114" s="1247"/>
      <c r="G114" s="1247"/>
      <c r="H114" s="371"/>
      <c r="J114" s="31"/>
      <c r="K114" s="31"/>
      <c r="L114" s="31"/>
      <c r="M114" s="31"/>
      <c r="N114" s="31"/>
      <c r="O114" s="31"/>
      <c r="P114" s="31"/>
      <c r="Q114" s="31"/>
      <c r="R114" s="31"/>
      <c r="S114" s="31"/>
      <c r="T114" s="31"/>
      <c r="U114" s="31"/>
      <c r="V114" s="31"/>
      <c r="W114" s="31"/>
      <c r="X114" s="31"/>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row>
    <row r="115" spans="3:73" s="32" customFormat="1" ht="14.25" customHeight="1">
      <c r="C115" s="1247"/>
      <c r="D115" s="1247"/>
      <c r="E115" s="1247"/>
      <c r="F115" s="1247"/>
      <c r="G115" s="1247"/>
      <c r="H115" s="371"/>
      <c r="J115" s="31"/>
      <c r="K115" s="31"/>
      <c r="L115" s="31"/>
      <c r="M115" s="31"/>
      <c r="N115" s="31"/>
      <c r="O115" s="31"/>
      <c r="P115" s="31"/>
      <c r="Q115" s="31"/>
      <c r="R115" s="31"/>
      <c r="S115" s="31"/>
      <c r="T115" s="31"/>
      <c r="U115" s="31"/>
      <c r="V115" s="31"/>
      <c r="W115" s="31"/>
      <c r="X115" s="31"/>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row>
    <row r="116" spans="3:73" s="32" customFormat="1" ht="14.25" customHeight="1">
      <c r="C116" s="1247"/>
      <c r="D116" s="1247"/>
      <c r="E116" s="1247"/>
      <c r="F116" s="1247"/>
      <c r="G116" s="1247"/>
      <c r="H116" s="371"/>
      <c r="J116" s="31"/>
      <c r="K116" s="31"/>
      <c r="L116" s="31"/>
      <c r="M116" s="31"/>
      <c r="N116" s="31"/>
      <c r="O116" s="31"/>
      <c r="P116" s="31"/>
      <c r="Q116" s="31"/>
      <c r="R116" s="31"/>
      <c r="S116" s="31"/>
      <c r="T116" s="31"/>
      <c r="U116" s="31"/>
      <c r="V116" s="31"/>
      <c r="W116" s="31"/>
      <c r="X116" s="31"/>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row>
    <row r="117" spans="3:73" s="32" customFormat="1">
      <c r="C117" s="1247"/>
      <c r="D117" s="1247"/>
      <c r="E117" s="1247"/>
      <c r="F117" s="1247"/>
      <c r="G117" s="1247"/>
      <c r="H117" s="371"/>
      <c r="J117" s="31"/>
      <c r="K117" s="31"/>
      <c r="L117" s="31"/>
      <c r="M117" s="31"/>
      <c r="N117" s="31"/>
      <c r="O117" s="31"/>
      <c r="P117" s="31"/>
      <c r="Q117" s="31"/>
      <c r="R117" s="31"/>
      <c r="S117" s="31"/>
      <c r="T117" s="31"/>
      <c r="U117" s="31"/>
      <c r="V117" s="31"/>
      <c r="W117" s="31"/>
      <c r="X117" s="31"/>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row>
    <row r="119" spans="3:73" s="32" customFormat="1">
      <c r="C119" s="37" t="s">
        <v>260</v>
      </c>
      <c r="D119" s="373"/>
      <c r="E119" s="373"/>
      <c r="F119" s="373"/>
      <c r="G119" s="373"/>
      <c r="H119" s="371"/>
      <c r="J119" s="31"/>
      <c r="K119" s="31"/>
      <c r="L119" s="31"/>
      <c r="M119" s="31"/>
      <c r="N119" s="31"/>
      <c r="O119" s="31"/>
      <c r="P119" s="31"/>
      <c r="Q119" s="31"/>
      <c r="R119" s="31"/>
      <c r="S119" s="31"/>
      <c r="T119" s="31"/>
      <c r="U119" s="31"/>
      <c r="V119" s="31"/>
      <c r="W119" s="31"/>
      <c r="X119" s="31"/>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row>
    <row r="120" spans="3:73" s="32" customFormat="1">
      <c r="C120" s="37" t="s">
        <v>261</v>
      </c>
      <c r="D120" s="373"/>
      <c r="E120" s="373"/>
      <c r="F120" s="373"/>
      <c r="G120" s="373"/>
      <c r="H120" s="371"/>
      <c r="J120" s="31"/>
      <c r="K120" s="31"/>
      <c r="L120" s="31"/>
      <c r="M120" s="31"/>
      <c r="N120" s="31"/>
      <c r="O120" s="31"/>
      <c r="P120" s="31"/>
      <c r="Q120" s="31"/>
      <c r="R120" s="31"/>
      <c r="S120" s="31"/>
      <c r="T120" s="31"/>
      <c r="U120" s="31"/>
      <c r="V120" s="31"/>
      <c r="W120" s="31"/>
      <c r="X120" s="31"/>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row>
    <row r="121" spans="3:73" s="32" customFormat="1" ht="65.25" customHeight="1">
      <c r="C121" s="373"/>
      <c r="D121" s="373"/>
      <c r="E121" s="373"/>
      <c r="F121" s="373"/>
      <c r="G121" s="373"/>
      <c r="H121" s="371"/>
      <c r="J121" s="31"/>
      <c r="K121" s="31"/>
      <c r="L121" s="31"/>
      <c r="M121" s="31"/>
      <c r="N121" s="31"/>
      <c r="O121" s="31"/>
      <c r="P121" s="31"/>
      <c r="Q121" s="31"/>
      <c r="R121" s="31"/>
      <c r="S121" s="31"/>
      <c r="T121" s="31"/>
      <c r="U121" s="31"/>
      <c r="V121" s="31"/>
      <c r="W121" s="31"/>
      <c r="X121" s="31"/>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row>
    <row r="122" spans="3:73" s="32" customFormat="1" ht="65.25" customHeight="1">
      <c r="C122" s="373"/>
      <c r="D122" s="373"/>
      <c r="E122" s="373"/>
      <c r="F122" s="373"/>
      <c r="G122" s="373"/>
      <c r="H122" s="371"/>
      <c r="J122" s="31"/>
      <c r="K122" s="31"/>
      <c r="L122" s="31"/>
      <c r="M122" s="31"/>
      <c r="N122" s="31"/>
      <c r="O122" s="31"/>
      <c r="P122" s="31"/>
      <c r="Q122" s="31"/>
      <c r="R122" s="31"/>
      <c r="S122" s="31"/>
      <c r="T122" s="31"/>
      <c r="U122" s="31"/>
      <c r="V122" s="31"/>
      <c r="W122" s="31"/>
      <c r="X122" s="31"/>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row>
  </sheetData>
  <protectedRanges>
    <protectedRange password="CF66" sqref="I14:I31 I34:I54 I56 I59:I66 I68:I76 I78 I80 I82" name="saldo kolom_1"/>
  </protectedRanges>
  <mergeCells count="33">
    <mergeCell ref="C13:G13"/>
    <mergeCell ref="E29:G29"/>
    <mergeCell ref="E52:G52"/>
    <mergeCell ref="W11:W12"/>
    <mergeCell ref="D85:L85"/>
    <mergeCell ref="U85:X85"/>
    <mergeCell ref="C99:G102"/>
    <mergeCell ref="C103:G106"/>
    <mergeCell ref="C108:G117"/>
    <mergeCell ref="S11:S12"/>
    <mergeCell ref="W9:X9"/>
    <mergeCell ref="B3:O3"/>
    <mergeCell ref="B4:X4"/>
    <mergeCell ref="B5:X5"/>
    <mergeCell ref="B6:X6"/>
    <mergeCell ref="B7:X7"/>
    <mergeCell ref="J11:J12"/>
    <mergeCell ref="B10:G12"/>
    <mergeCell ref="H10:H12"/>
    <mergeCell ref="K11:K12"/>
    <mergeCell ref="L11:L12"/>
    <mergeCell ref="M11:M12"/>
    <mergeCell ref="I10:I12"/>
    <mergeCell ref="J10:X10"/>
    <mergeCell ref="X11:X12"/>
    <mergeCell ref="N11:N12"/>
    <mergeCell ref="O11:O12"/>
    <mergeCell ref="T11:T12"/>
    <mergeCell ref="U11:U12"/>
    <mergeCell ref="P11:P12"/>
    <mergeCell ref="V11:V12"/>
    <mergeCell ref="Q11:Q12"/>
    <mergeCell ref="R11:R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39997558519241921"/>
  </sheetPr>
  <dimension ref="A1:BU124"/>
  <sheetViews>
    <sheetView topLeftCell="A16" zoomScale="54" zoomScaleNormal="60" workbookViewId="0">
      <selection activeCell="I40" sqref="I40"/>
    </sheetView>
  </sheetViews>
  <sheetFormatPr defaultRowHeight="15"/>
  <cols>
    <col min="1" max="1" width="4" style="14" customWidth="1"/>
    <col min="2" max="2" width="5.140625" style="14" customWidth="1"/>
    <col min="3" max="4" width="3.7109375" style="14" customWidth="1"/>
    <col min="5" max="5" width="6" style="14" customWidth="1"/>
    <col min="6" max="6" width="2.7109375" style="14" customWidth="1"/>
    <col min="7" max="7" width="55.85546875" style="14" bestFit="1" customWidth="1"/>
    <col min="8" max="8" width="10.140625" style="89" bestFit="1" customWidth="1"/>
    <col min="9" max="9" width="19.140625" style="81" bestFit="1" customWidth="1"/>
    <col min="10" max="10" width="18" style="14" bestFit="1" customWidth="1"/>
    <col min="11" max="11" width="23.7109375" style="14" bestFit="1" customWidth="1"/>
    <col min="12" max="12" width="24.7109375" style="14" bestFit="1" customWidth="1"/>
    <col min="13" max="13" width="25.85546875" style="14" bestFit="1" customWidth="1"/>
    <col min="14" max="14" width="27.140625" style="14" bestFit="1" customWidth="1"/>
    <col min="15" max="15" width="23.85546875" style="14" bestFit="1" customWidth="1"/>
    <col min="16" max="24" width="18" style="14" bestFit="1" customWidth="1"/>
    <col min="25" max="25" width="16.85546875" style="38" bestFit="1" customWidth="1"/>
    <col min="26" max="36" width="9.140625" style="38"/>
    <col min="37" max="73" width="9.140625" style="39"/>
    <col min="74" max="16384" width="9.140625" style="14"/>
  </cols>
  <sheetData>
    <row r="1" spans="1:73" ht="22.5" customHeight="1"/>
    <row r="2" spans="1:73" ht="15.75" thickBot="1"/>
    <row r="3" spans="1:73" s="16" customFormat="1" ht="16.5" thickTop="1" thickBot="1">
      <c r="A3" s="82" t="s">
        <v>18</v>
      </c>
      <c r="B3" s="82" t="s">
        <v>19</v>
      </c>
      <c r="C3" s="82" t="s">
        <v>20</v>
      </c>
      <c r="D3" s="82" t="s">
        <v>21</v>
      </c>
      <c r="E3" s="82" t="s">
        <v>22</v>
      </c>
      <c r="F3" s="82" t="s">
        <v>23</v>
      </c>
      <c r="G3" s="82" t="s">
        <v>24</v>
      </c>
      <c r="H3" s="389"/>
      <c r="I3" s="390" t="s">
        <v>25</v>
      </c>
      <c r="J3" s="82" t="s">
        <v>26</v>
      </c>
      <c r="K3" s="82" t="s">
        <v>27</v>
      </c>
      <c r="L3" s="82" t="s">
        <v>28</v>
      </c>
      <c r="M3" s="82" t="s">
        <v>29</v>
      </c>
      <c r="N3" s="82" t="s">
        <v>30</v>
      </c>
      <c r="O3" s="82" t="s">
        <v>31</v>
      </c>
      <c r="P3" s="391"/>
      <c r="Q3" s="391"/>
      <c r="R3" s="391"/>
      <c r="S3" s="391"/>
      <c r="T3" s="391"/>
      <c r="U3" s="391"/>
      <c r="V3" s="391"/>
      <c r="W3" s="391"/>
      <c r="X3" s="391"/>
      <c r="Y3" s="40"/>
      <c r="Z3" s="40"/>
      <c r="AA3" s="40"/>
      <c r="AB3" s="40"/>
      <c r="AC3" s="40"/>
      <c r="AD3" s="40"/>
      <c r="AE3" s="40"/>
      <c r="AF3" s="40"/>
      <c r="AG3" s="40"/>
      <c r="AH3" s="40"/>
      <c r="AI3" s="40"/>
      <c r="AJ3" s="40"/>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row>
    <row r="4" spans="1:73" ht="32.25" customHeight="1" thickTop="1">
      <c r="B4" s="1256" t="s">
        <v>235</v>
      </c>
      <c r="C4" s="1256"/>
      <c r="D4" s="1256"/>
      <c r="E4" s="1256"/>
      <c r="F4" s="1256"/>
      <c r="G4" s="1256"/>
      <c r="H4" s="1256"/>
      <c r="I4" s="1256"/>
      <c r="J4" s="1256"/>
      <c r="K4" s="1256"/>
      <c r="L4" s="1256"/>
      <c r="M4" s="1256"/>
      <c r="N4" s="1256"/>
      <c r="O4" s="1256"/>
      <c r="P4" s="223"/>
      <c r="Q4" s="223"/>
      <c r="R4" s="223"/>
      <c r="S4" s="223"/>
      <c r="T4" s="223"/>
      <c r="U4" s="223"/>
      <c r="V4" s="223"/>
      <c r="W4" s="223"/>
      <c r="X4" s="223"/>
    </row>
    <row r="5" spans="1:73" ht="27">
      <c r="B5" s="1257" t="s">
        <v>288</v>
      </c>
      <c r="C5" s="1257"/>
      <c r="D5" s="1257"/>
      <c r="E5" s="1257"/>
      <c r="F5" s="1257"/>
      <c r="G5" s="1257"/>
      <c r="H5" s="1257"/>
      <c r="I5" s="1257"/>
      <c r="J5" s="1257"/>
      <c r="K5" s="1257"/>
      <c r="L5" s="1257"/>
      <c r="M5" s="1257"/>
      <c r="N5" s="1257"/>
      <c r="O5" s="1257"/>
      <c r="P5" s="1257"/>
      <c r="Q5" s="1257"/>
      <c r="R5" s="1257"/>
      <c r="S5" s="1257"/>
      <c r="T5" s="1257"/>
      <c r="U5" s="1257"/>
      <c r="V5" s="1257"/>
      <c r="W5" s="1257"/>
      <c r="X5" s="1257"/>
    </row>
    <row r="6" spans="1:73" ht="20.25">
      <c r="B6" s="1258" t="s">
        <v>237</v>
      </c>
      <c r="C6" s="1258"/>
      <c r="D6" s="1258"/>
      <c r="E6" s="1258"/>
      <c r="F6" s="1258"/>
      <c r="G6" s="1258"/>
      <c r="H6" s="1258"/>
      <c r="I6" s="1258"/>
      <c r="J6" s="1258"/>
      <c r="K6" s="1258"/>
      <c r="L6" s="1258"/>
      <c r="M6" s="1258"/>
      <c r="N6" s="1258"/>
      <c r="O6" s="1258"/>
      <c r="P6" s="1258"/>
      <c r="Q6" s="1258"/>
      <c r="R6" s="1258"/>
      <c r="S6" s="1258"/>
      <c r="T6" s="1258"/>
      <c r="U6" s="1258"/>
      <c r="V6" s="1258"/>
      <c r="W6" s="1258"/>
      <c r="X6" s="1258"/>
    </row>
    <row r="7" spans="1:73" ht="18">
      <c r="B7" s="1259">
        <v>46203</v>
      </c>
      <c r="C7" s="1306"/>
      <c r="D7" s="1306"/>
      <c r="E7" s="1306"/>
      <c r="F7" s="1306"/>
      <c r="G7" s="1306"/>
      <c r="H7" s="1306"/>
      <c r="I7" s="1306"/>
      <c r="J7" s="1306"/>
      <c r="K7" s="1306"/>
      <c r="L7" s="1306"/>
      <c r="M7" s="1306"/>
      <c r="N7" s="1306"/>
      <c r="O7" s="1306"/>
      <c r="P7" s="1306"/>
      <c r="Q7" s="1306"/>
      <c r="R7" s="1306"/>
      <c r="S7" s="1306"/>
      <c r="T7" s="1306"/>
      <c r="U7" s="1306"/>
      <c r="V7" s="1306"/>
      <c r="W7" s="1306"/>
      <c r="X7" s="1306"/>
    </row>
    <row r="8" spans="1:73" ht="18">
      <c r="B8" s="607" t="s">
        <v>238</v>
      </c>
      <c r="C8" s="607"/>
      <c r="D8" s="607"/>
      <c r="E8" s="607"/>
      <c r="F8" s="607"/>
      <c r="G8" s="607"/>
      <c r="H8" s="607"/>
      <c r="I8" s="607"/>
      <c r="J8" s="607"/>
      <c r="K8" s="607"/>
      <c r="L8" s="607"/>
      <c r="M8" s="608" t="s">
        <v>3</v>
      </c>
      <c r="N8" s="225">
        <f>SUM(J16:L16)+SUM(J61:L61)</f>
        <v>490287</v>
      </c>
      <c r="O8" s="225">
        <f>N8-N9</f>
        <v>58469</v>
      </c>
      <c r="P8" s="607"/>
      <c r="Q8" s="607"/>
      <c r="R8" s="607"/>
      <c r="S8" s="607"/>
      <c r="T8" s="607"/>
      <c r="U8" s="607"/>
      <c r="V8" s="607"/>
      <c r="W8" s="607"/>
      <c r="X8" s="607"/>
    </row>
    <row r="9" spans="1:73" ht="22.5" customHeight="1">
      <c r="B9" s="378"/>
      <c r="C9" s="378"/>
      <c r="D9" s="378"/>
      <c r="E9" s="378"/>
      <c r="F9" s="378"/>
      <c r="G9" s="378"/>
      <c r="H9" s="465"/>
      <c r="I9" s="379"/>
      <c r="J9" s="392"/>
      <c r="K9" s="224"/>
      <c r="L9" s="225"/>
      <c r="M9" s="608" t="s">
        <v>4</v>
      </c>
      <c r="N9" s="225">
        <f>SUM(J36:L36)+SUM(J70:L70)-N10</f>
        <v>431818</v>
      </c>
      <c r="O9" s="39" t="s">
        <v>169</v>
      </c>
      <c r="P9" s="224"/>
      <c r="Q9" s="378"/>
      <c r="R9" s="378"/>
      <c r="S9" s="378"/>
      <c r="T9" s="378"/>
      <c r="U9" s="378"/>
      <c r="V9" s="378"/>
      <c r="W9" s="378"/>
      <c r="X9" s="378"/>
    </row>
    <row r="10" spans="1:73" ht="24.75" customHeight="1" thickBot="1">
      <c r="B10" s="39"/>
      <c r="C10" s="39"/>
      <c r="D10" s="39"/>
      <c r="E10" s="39"/>
      <c r="F10" s="39"/>
      <c r="G10" s="39"/>
      <c r="H10" s="380"/>
      <c r="I10" s="386"/>
      <c r="J10" s="383"/>
      <c r="K10" s="384"/>
      <c r="L10" s="385"/>
      <c r="M10" s="608" t="s">
        <v>289</v>
      </c>
      <c r="N10" s="1170">
        <v>118000</v>
      </c>
      <c r="O10" s="743"/>
      <c r="P10" s="393"/>
      <c r="Q10" s="393"/>
      <c r="R10" s="393"/>
      <c r="S10" s="393"/>
      <c r="T10" s="393"/>
      <c r="U10" s="393"/>
      <c r="V10" s="393"/>
      <c r="W10" s="1262" t="s">
        <v>239</v>
      </c>
      <c r="X10" s="1262"/>
    </row>
    <row r="11" spans="1:73" s="83" customFormat="1" ht="18.75" customHeight="1" thickBot="1">
      <c r="B11" s="1271" t="s">
        <v>40</v>
      </c>
      <c r="C11" s="1307"/>
      <c r="D11" s="1307"/>
      <c r="E11" s="1307"/>
      <c r="F11" s="1307"/>
      <c r="G11" s="1308"/>
      <c r="H11" s="1272" t="s">
        <v>240</v>
      </c>
      <c r="I11" s="1268" t="s">
        <v>241</v>
      </c>
      <c r="J11" s="1261" t="s">
        <v>290</v>
      </c>
      <c r="K11" s="1309"/>
      <c r="L11" s="1309"/>
      <c r="M11" s="1309"/>
      <c r="N11" s="1309"/>
      <c r="O11" s="1309"/>
      <c r="P11" s="1309"/>
      <c r="Q11" s="1309"/>
      <c r="R11" s="1309"/>
      <c r="S11" s="1309"/>
      <c r="T11" s="1309"/>
      <c r="U11" s="1309"/>
      <c r="V11" s="1309"/>
      <c r="W11" s="1309"/>
      <c r="X11" s="1310"/>
      <c r="Y11" s="43"/>
      <c r="Z11" s="43"/>
      <c r="AA11" s="43"/>
      <c r="AB11" s="43"/>
      <c r="AC11" s="43"/>
      <c r="AD11" s="43"/>
      <c r="AE11" s="43"/>
      <c r="AF11" s="43"/>
      <c r="AG11" s="43"/>
      <c r="AH11" s="43"/>
      <c r="AI11" s="43"/>
      <c r="AJ11" s="43"/>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row>
    <row r="12" spans="1:73" ht="26.25" customHeight="1">
      <c r="B12" s="1311"/>
      <c r="C12" s="1312"/>
      <c r="D12" s="1312"/>
      <c r="E12" s="1312"/>
      <c r="F12" s="1312"/>
      <c r="G12" s="1313"/>
      <c r="H12" s="1314"/>
      <c r="I12" s="1314"/>
      <c r="J12" s="1273" t="s">
        <v>243</v>
      </c>
      <c r="K12" s="1275" t="s">
        <v>244</v>
      </c>
      <c r="L12" s="1270" t="s">
        <v>245</v>
      </c>
      <c r="M12" s="1274" t="s">
        <v>246</v>
      </c>
      <c r="N12" s="1270" t="s">
        <v>247</v>
      </c>
      <c r="O12" s="1270" t="s">
        <v>248</v>
      </c>
      <c r="P12" s="1260" t="s">
        <v>53</v>
      </c>
      <c r="Q12" s="1260" t="s">
        <v>54</v>
      </c>
      <c r="R12" s="1260" t="s">
        <v>55</v>
      </c>
      <c r="S12" s="1260" t="s">
        <v>56</v>
      </c>
      <c r="T12" s="1260" t="s">
        <v>57</v>
      </c>
      <c r="U12" s="1260" t="s">
        <v>58</v>
      </c>
      <c r="V12" s="1260" t="s">
        <v>59</v>
      </c>
      <c r="W12" s="1260" t="s">
        <v>60</v>
      </c>
      <c r="X12" s="1260" t="s">
        <v>61</v>
      </c>
    </row>
    <row r="13" spans="1:73" ht="26.25" customHeight="1" thickBot="1">
      <c r="B13" s="1315"/>
      <c r="C13" s="1316"/>
      <c r="D13" s="1316"/>
      <c r="E13" s="1316"/>
      <c r="F13" s="1316"/>
      <c r="G13" s="1317"/>
      <c r="H13" s="1318"/>
      <c r="I13" s="1318"/>
      <c r="J13" s="1319"/>
      <c r="K13" s="1320"/>
      <c r="L13" s="1318"/>
      <c r="M13" s="1321"/>
      <c r="N13" s="1318"/>
      <c r="O13" s="1318"/>
      <c r="P13" s="1318"/>
      <c r="Q13" s="1318"/>
      <c r="R13" s="1318"/>
      <c r="S13" s="1318"/>
      <c r="T13" s="1318"/>
      <c r="U13" s="1318"/>
      <c r="V13" s="1318"/>
      <c r="W13" s="1318"/>
      <c r="X13" s="1318"/>
    </row>
    <row r="14" spans="1:73" ht="26.25" customHeight="1" thickBot="1">
      <c r="B14" s="394"/>
      <c r="C14" s="395"/>
      <c r="D14" s="395"/>
      <c r="E14" s="395"/>
      <c r="F14" s="395"/>
      <c r="G14" s="395"/>
      <c r="H14" s="396"/>
      <c r="I14" s="397"/>
      <c r="J14" s="462">
        <f>B7+7</f>
        <v>46210</v>
      </c>
      <c r="K14" s="463">
        <f>B7+14</f>
        <v>46217</v>
      </c>
      <c r="L14" s="464" t="s">
        <v>291</v>
      </c>
      <c r="M14" s="569" t="s">
        <v>292</v>
      </c>
      <c r="N14" s="570" t="s">
        <v>293</v>
      </c>
      <c r="O14" s="387" t="s">
        <v>294</v>
      </c>
      <c r="P14" s="388" t="s">
        <v>295</v>
      </c>
      <c r="Q14" s="388" t="s">
        <v>296</v>
      </c>
      <c r="R14" s="388" t="s">
        <v>297</v>
      </c>
      <c r="S14" s="388" t="s">
        <v>298</v>
      </c>
      <c r="T14" s="388" t="s">
        <v>299</v>
      </c>
      <c r="U14" s="388" t="s">
        <v>300</v>
      </c>
      <c r="V14" s="388" t="s">
        <v>301</v>
      </c>
      <c r="W14" s="388" t="s">
        <v>302</v>
      </c>
      <c r="X14" s="388" t="s">
        <v>303</v>
      </c>
      <c r="Y14" s="84"/>
      <c r="Z14" s="84"/>
      <c r="AA14" s="84"/>
      <c r="AB14" s="84"/>
      <c r="AC14" s="84"/>
      <c r="AD14" s="84"/>
      <c r="AE14" s="84"/>
      <c r="AF14" s="84"/>
      <c r="AG14" s="84"/>
      <c r="AH14" s="84"/>
      <c r="AI14" s="84"/>
      <c r="AJ14" s="8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row>
    <row r="15" spans="1:73">
      <c r="B15" s="398" t="s">
        <v>63</v>
      </c>
      <c r="C15" s="1264" t="s">
        <v>64</v>
      </c>
      <c r="D15" s="1264"/>
      <c r="E15" s="1264"/>
      <c r="F15" s="1264"/>
      <c r="G15" s="1264"/>
      <c r="H15" s="399"/>
      <c r="I15" s="400"/>
      <c r="J15" s="1159"/>
      <c r="K15" s="398"/>
      <c r="L15" s="401"/>
      <c r="M15" s="402"/>
      <c r="N15" s="403"/>
      <c r="O15" s="402"/>
      <c r="P15" s="404"/>
      <c r="Q15" s="405"/>
      <c r="R15" s="405"/>
      <c r="S15" s="405"/>
      <c r="T15" s="405"/>
      <c r="U15" s="405"/>
      <c r="V15" s="405"/>
      <c r="W15" s="405"/>
      <c r="X15" s="405"/>
    </row>
    <row r="16" spans="1:73" s="18" customFormat="1">
      <c r="B16" s="810" t="s">
        <v>65</v>
      </c>
      <c r="C16" s="811" t="s">
        <v>3</v>
      </c>
      <c r="D16" s="812"/>
      <c r="E16" s="812"/>
      <c r="F16" s="813"/>
      <c r="G16" s="812"/>
      <c r="H16" s="814">
        <v>10000</v>
      </c>
      <c r="I16" s="970">
        <f t="shared" ref="I16:I24" si="0">ROUND(SUM(J16:X16),0)</f>
        <v>1900794</v>
      </c>
      <c r="J16" s="971">
        <f>ROUND(+J17+J18+J19+J20+J27+J30+J33,0)</f>
        <v>318616</v>
      </c>
      <c r="K16" s="972">
        <f>ROUND(+K17+K18+K19+K20+K27+K30+K33,0)</f>
        <v>34599</v>
      </c>
      <c r="L16" s="973">
        <f>ROUND(+L17+L18+L19+L20+L27+L30+L33,0)</f>
        <v>17072</v>
      </c>
      <c r="M16" s="974">
        <f t="shared" ref="M16:X16" si="1">ROUND(+M17+M18+M19+M26+M27+M30+M33,0)</f>
        <v>110939</v>
      </c>
      <c r="N16" s="971">
        <f t="shared" si="1"/>
        <v>107407</v>
      </c>
      <c r="O16" s="974">
        <f t="shared" si="1"/>
        <v>92732</v>
      </c>
      <c r="P16" s="971">
        <f t="shared" si="1"/>
        <v>427856</v>
      </c>
      <c r="Q16" s="974">
        <f t="shared" si="1"/>
        <v>211102</v>
      </c>
      <c r="R16" s="974">
        <f t="shared" si="1"/>
        <v>282928</v>
      </c>
      <c r="S16" s="971">
        <f t="shared" si="1"/>
        <v>169654</v>
      </c>
      <c r="T16" s="974">
        <f t="shared" si="1"/>
        <v>127889</v>
      </c>
      <c r="U16" s="974">
        <f t="shared" si="1"/>
        <v>0</v>
      </c>
      <c r="V16" s="971">
        <f t="shared" si="1"/>
        <v>0</v>
      </c>
      <c r="W16" s="974">
        <f t="shared" si="1"/>
        <v>0</v>
      </c>
      <c r="X16" s="974">
        <f t="shared" si="1"/>
        <v>0</v>
      </c>
      <c r="Y16" s="45"/>
      <c r="Z16" s="45"/>
      <c r="AA16" s="45"/>
      <c r="AB16" s="45"/>
      <c r="AC16" s="45"/>
      <c r="AD16" s="45"/>
      <c r="AE16" s="45"/>
      <c r="AF16" s="45"/>
      <c r="AG16" s="45"/>
      <c r="AH16" s="45"/>
      <c r="AI16" s="45"/>
      <c r="AJ16" s="45"/>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row>
    <row r="17" spans="2:73" s="18" customFormat="1">
      <c r="B17" s="406"/>
      <c r="C17" s="407" t="s">
        <v>66</v>
      </c>
      <c r="D17" s="815" t="s">
        <v>67</v>
      </c>
      <c r="E17" s="816"/>
      <c r="F17" s="408"/>
      <c r="G17" s="817"/>
      <c r="H17" s="466">
        <v>10100</v>
      </c>
      <c r="I17" s="975">
        <f t="shared" si="0"/>
        <v>192339</v>
      </c>
      <c r="J17" s="382">
        <v>192338.56247</v>
      </c>
      <c r="K17" s="976">
        <v>0</v>
      </c>
      <c r="L17" s="976">
        <v>0</v>
      </c>
      <c r="M17" s="976">
        <v>0</v>
      </c>
      <c r="N17" s="976">
        <v>0</v>
      </c>
      <c r="O17" s="976">
        <v>0</v>
      </c>
      <c r="P17" s="976">
        <v>0</v>
      </c>
      <c r="Q17" s="976">
        <v>0</v>
      </c>
      <c r="R17" s="976">
        <v>0</v>
      </c>
      <c r="S17" s="976">
        <v>0</v>
      </c>
      <c r="T17" s="976">
        <v>0</v>
      </c>
      <c r="U17" s="976">
        <v>0</v>
      </c>
      <c r="V17" s="976">
        <v>0</v>
      </c>
      <c r="W17" s="976">
        <v>0</v>
      </c>
      <c r="X17" s="976">
        <v>0</v>
      </c>
      <c r="Y17" s="45" t="s">
        <v>304</v>
      </c>
      <c r="Z17" s="45"/>
      <c r="AA17" s="45" t="s">
        <v>169</v>
      </c>
      <c r="AB17" s="45"/>
      <c r="AC17" s="45"/>
      <c r="AD17" s="45"/>
      <c r="AE17" s="45"/>
      <c r="AF17" s="45"/>
      <c r="AG17" s="45"/>
      <c r="AH17" s="45"/>
      <c r="AI17" s="45"/>
      <c r="AJ17" s="45"/>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row>
    <row r="18" spans="2:73" s="18" customFormat="1">
      <c r="B18" s="818"/>
      <c r="C18" s="819" t="s">
        <v>73</v>
      </c>
      <c r="D18" s="820" t="s">
        <v>74</v>
      </c>
      <c r="E18" s="821"/>
      <c r="F18" s="821"/>
      <c r="G18" s="817"/>
      <c r="H18" s="822">
        <v>10200</v>
      </c>
      <c r="I18" s="977">
        <f t="shared" si="0"/>
        <v>0</v>
      </c>
      <c r="J18" s="978"/>
      <c r="K18" s="979">
        <v>0</v>
      </c>
      <c r="L18" s="980"/>
      <c r="M18" s="981"/>
      <c r="N18" s="980"/>
      <c r="O18" s="982"/>
      <c r="P18" s="980"/>
      <c r="Q18" s="982"/>
      <c r="R18" s="982"/>
      <c r="S18" s="982"/>
      <c r="T18" s="982"/>
      <c r="U18" s="982"/>
      <c r="V18" s="980"/>
      <c r="W18" s="981"/>
      <c r="X18" s="981"/>
      <c r="Y18" s="45"/>
      <c r="Z18" s="45"/>
      <c r="AA18" s="45"/>
      <c r="AB18" s="45"/>
      <c r="AC18" s="45"/>
      <c r="AD18" s="45"/>
      <c r="AE18" s="45"/>
      <c r="AF18" s="45"/>
      <c r="AG18" s="45"/>
      <c r="AH18" s="45"/>
      <c r="AI18" s="45"/>
      <c r="AJ18" s="45"/>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row>
    <row r="19" spans="2:73" s="18" customFormat="1">
      <c r="B19" s="823"/>
      <c r="C19" s="824" t="s">
        <v>77</v>
      </c>
      <c r="D19" s="825" t="s">
        <v>78</v>
      </c>
      <c r="E19" s="826"/>
      <c r="F19" s="826"/>
      <c r="G19" s="827"/>
      <c r="H19" s="828">
        <v>10300</v>
      </c>
      <c r="I19" s="983">
        <f t="shared" si="0"/>
        <v>250000</v>
      </c>
      <c r="J19" s="382">
        <v>100000</v>
      </c>
      <c r="K19" s="984"/>
      <c r="L19" s="984"/>
      <c r="M19" s="984"/>
      <c r="N19" s="984"/>
      <c r="O19" s="984"/>
      <c r="P19" s="984"/>
      <c r="Q19" s="984"/>
      <c r="R19" s="984"/>
      <c r="S19" s="984">
        <v>150000</v>
      </c>
      <c r="T19" s="984"/>
      <c r="U19" s="984"/>
      <c r="V19" s="984"/>
      <c r="W19" s="984"/>
      <c r="X19" s="984"/>
      <c r="Y19" s="45"/>
      <c r="Z19" s="45"/>
      <c r="AA19" s="45"/>
      <c r="AB19" s="45"/>
      <c r="AC19" s="45"/>
      <c r="AD19" s="45"/>
      <c r="AE19" s="45"/>
      <c r="AF19" s="45"/>
      <c r="AG19" s="45"/>
      <c r="AH19" s="45"/>
      <c r="AI19" s="45"/>
      <c r="AJ19" s="45"/>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row>
    <row r="20" spans="2:73" s="18" customFormat="1">
      <c r="B20" s="829"/>
      <c r="C20" s="830" t="s">
        <v>81</v>
      </c>
      <c r="D20" s="820" t="s">
        <v>82</v>
      </c>
      <c r="E20" s="820"/>
      <c r="F20" s="820"/>
      <c r="G20" s="408"/>
      <c r="H20" s="467">
        <v>10400</v>
      </c>
      <c r="I20" s="985">
        <f t="shared" si="0"/>
        <v>241831</v>
      </c>
      <c r="J20" s="986">
        <f>SUM(J21:J26)</f>
        <v>0</v>
      </c>
      <c r="K20" s="986">
        <f t="shared" ref="K20:X20" si="2">SUM(K21:K26)</f>
        <v>0</v>
      </c>
      <c r="L20" s="986">
        <f t="shared" si="2"/>
        <v>0</v>
      </c>
      <c r="M20" s="986">
        <f t="shared" si="2"/>
        <v>0</v>
      </c>
      <c r="N20" s="986">
        <f t="shared" si="2"/>
        <v>9992</v>
      </c>
      <c r="O20" s="986">
        <f t="shared" si="2"/>
        <v>74160.899999999965</v>
      </c>
      <c r="P20" s="986">
        <f t="shared" si="2"/>
        <v>54820.074000000001</v>
      </c>
      <c r="Q20" s="986">
        <f t="shared" si="2"/>
        <v>32262.00375</v>
      </c>
      <c r="R20" s="986">
        <f t="shared" si="2"/>
        <v>46177.677500000005</v>
      </c>
      <c r="S20" s="986">
        <f t="shared" si="2"/>
        <v>19654.449999999997</v>
      </c>
      <c r="T20" s="986">
        <f t="shared" si="2"/>
        <v>4763.67</v>
      </c>
      <c r="U20" s="986">
        <f t="shared" si="2"/>
        <v>0</v>
      </c>
      <c r="V20" s="986">
        <f t="shared" si="2"/>
        <v>0</v>
      </c>
      <c r="W20" s="986">
        <f t="shared" si="2"/>
        <v>0</v>
      </c>
      <c r="X20" s="986">
        <f t="shared" si="2"/>
        <v>0</v>
      </c>
      <c r="Y20" s="85"/>
      <c r="Z20" s="45"/>
      <c r="AA20" s="45"/>
      <c r="AB20" s="45"/>
      <c r="AC20" s="45"/>
      <c r="AD20" s="45"/>
      <c r="AE20" s="45"/>
      <c r="AF20" s="45"/>
      <c r="AG20" s="45"/>
      <c r="AH20" s="45"/>
      <c r="AI20" s="45"/>
      <c r="AJ20" s="45"/>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row>
    <row r="21" spans="2:73" s="18" customFormat="1">
      <c r="B21" s="831"/>
      <c r="C21" s="832"/>
      <c r="D21" s="825" t="s">
        <v>84</v>
      </c>
      <c r="E21" s="825" t="s">
        <v>85</v>
      </c>
      <c r="F21" s="825"/>
      <c r="G21" s="825"/>
      <c r="H21" s="833">
        <v>10420</v>
      </c>
      <c r="I21" s="987">
        <f t="shared" si="0"/>
        <v>0</v>
      </c>
      <c r="J21" s="988">
        <f>J23</f>
        <v>0</v>
      </c>
      <c r="K21" s="988">
        <f>K23</f>
        <v>0</v>
      </c>
      <c r="L21" s="988">
        <f t="shared" ref="L21:X21" si="3">L23</f>
        <v>0</v>
      </c>
      <c r="M21" s="988">
        <f t="shared" si="3"/>
        <v>0</v>
      </c>
      <c r="N21" s="988">
        <f t="shared" si="3"/>
        <v>0</v>
      </c>
      <c r="O21" s="988">
        <f t="shared" si="3"/>
        <v>0</v>
      </c>
      <c r="P21" s="988">
        <f t="shared" si="3"/>
        <v>0</v>
      </c>
      <c r="Q21" s="988">
        <f t="shared" si="3"/>
        <v>0</v>
      </c>
      <c r="R21" s="988">
        <f t="shared" si="3"/>
        <v>0</v>
      </c>
      <c r="S21" s="988">
        <f t="shared" si="3"/>
        <v>0</v>
      </c>
      <c r="T21" s="988">
        <f t="shared" si="3"/>
        <v>0</v>
      </c>
      <c r="U21" s="988">
        <f t="shared" si="3"/>
        <v>0</v>
      </c>
      <c r="V21" s="988">
        <f t="shared" si="3"/>
        <v>0</v>
      </c>
      <c r="W21" s="988">
        <f t="shared" si="3"/>
        <v>0</v>
      </c>
      <c r="X21" s="988">
        <f t="shared" si="3"/>
        <v>0</v>
      </c>
      <c r="Y21" s="88"/>
      <c r="Z21" s="45"/>
      <c r="AA21" s="45"/>
      <c r="AB21" s="45"/>
      <c r="AC21" s="45"/>
      <c r="AD21" s="45"/>
      <c r="AE21" s="45"/>
      <c r="AF21" s="45"/>
      <c r="AG21" s="45"/>
      <c r="AH21" s="45"/>
      <c r="AI21" s="45"/>
      <c r="AJ21" s="45"/>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row>
    <row r="22" spans="2:73" s="18" customFormat="1">
      <c r="B22" s="823"/>
      <c r="C22" s="834"/>
      <c r="D22" s="826"/>
      <c r="E22" s="409" t="s">
        <v>87</v>
      </c>
      <c r="F22" s="409" t="s">
        <v>88</v>
      </c>
      <c r="G22" s="409"/>
      <c r="H22" s="835">
        <v>10421</v>
      </c>
      <c r="I22" s="989">
        <f t="shared" si="0"/>
        <v>0</v>
      </c>
      <c r="J22" s="990"/>
      <c r="K22" s="991"/>
      <c r="L22" s="992">
        <v>0</v>
      </c>
      <c r="M22" s="990">
        <v>0</v>
      </c>
      <c r="N22" s="990"/>
      <c r="O22" s="990"/>
      <c r="P22" s="990"/>
      <c r="Q22" s="990"/>
      <c r="R22" s="990"/>
      <c r="S22" s="990"/>
      <c r="T22" s="990"/>
      <c r="U22" s="990">
        <v>0</v>
      </c>
      <c r="V22" s="990"/>
      <c r="W22" s="990"/>
      <c r="X22" s="990"/>
      <c r="Y22" s="85"/>
      <c r="Z22" s="45"/>
      <c r="AA22" s="45"/>
      <c r="AB22" s="45"/>
      <c r="AC22" s="45"/>
      <c r="AD22" s="45"/>
      <c r="AE22" s="45"/>
      <c r="AF22" s="45"/>
      <c r="AG22" s="45"/>
      <c r="AH22" s="45"/>
      <c r="AI22" s="45"/>
      <c r="AJ22" s="45"/>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row>
    <row r="23" spans="2:73" s="18" customFormat="1">
      <c r="B23" s="410"/>
      <c r="C23" s="83"/>
      <c r="E23" s="411" t="s">
        <v>90</v>
      </c>
      <c r="F23" s="411" t="s">
        <v>91</v>
      </c>
      <c r="G23" s="411"/>
      <c r="H23" s="468">
        <v>10422</v>
      </c>
      <c r="I23" s="993">
        <f t="shared" si="0"/>
        <v>0</v>
      </c>
      <c r="J23" s="994">
        <v>0</v>
      </c>
      <c r="K23" s="995">
        <v>0</v>
      </c>
      <c r="L23" s="995">
        <v>0</v>
      </c>
      <c r="M23" s="995">
        <v>0</v>
      </c>
      <c r="N23" s="995">
        <v>0</v>
      </c>
      <c r="O23" s="995">
        <v>0</v>
      </c>
      <c r="P23" s="995">
        <v>0</v>
      </c>
      <c r="Q23" s="995">
        <v>0</v>
      </c>
      <c r="R23" s="995">
        <v>0</v>
      </c>
      <c r="S23" s="995">
        <v>0</v>
      </c>
      <c r="T23" s="995">
        <v>0</v>
      </c>
      <c r="U23" s="995">
        <v>0</v>
      </c>
      <c r="V23" s="995">
        <v>0</v>
      </c>
      <c r="W23" s="995">
        <v>0</v>
      </c>
      <c r="X23" s="995">
        <v>0</v>
      </c>
      <c r="Y23" s="45"/>
      <c r="Z23" s="45"/>
      <c r="AA23" s="45"/>
      <c r="AB23" s="45"/>
      <c r="AC23" s="45"/>
      <c r="AD23" s="45"/>
      <c r="AE23" s="45"/>
      <c r="AF23" s="45"/>
      <c r="AG23" s="45"/>
      <c r="AH23" s="45"/>
      <c r="AI23" s="45"/>
      <c r="AJ23" s="45"/>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row>
    <row r="24" spans="2:73" s="18" customFormat="1">
      <c r="B24" s="410"/>
      <c r="C24" s="83"/>
      <c r="E24" s="411" t="s">
        <v>93</v>
      </c>
      <c r="F24" s="411" t="s">
        <v>94</v>
      </c>
      <c r="G24" s="411"/>
      <c r="H24" s="468">
        <v>10423</v>
      </c>
      <c r="I24" s="993">
        <f t="shared" si="0"/>
        <v>0</v>
      </c>
      <c r="J24" s="996"/>
      <c r="K24" s="997"/>
      <c r="L24" s="998"/>
      <c r="M24" s="996"/>
      <c r="N24" s="996"/>
      <c r="O24" s="996"/>
      <c r="P24" s="996">
        <v>0</v>
      </c>
      <c r="Q24" s="996"/>
      <c r="R24" s="996"/>
      <c r="S24" s="996"/>
      <c r="T24" s="996" t="s">
        <v>278</v>
      </c>
      <c r="U24" s="996"/>
      <c r="V24" s="996"/>
      <c r="W24" s="996"/>
      <c r="X24" s="996"/>
      <c r="Y24" s="45"/>
      <c r="Z24" s="45"/>
      <c r="AA24" s="45"/>
      <c r="AB24" s="45"/>
      <c r="AC24" s="45"/>
      <c r="AD24" s="45"/>
      <c r="AE24" s="45"/>
      <c r="AF24" s="45"/>
      <c r="AG24" s="45"/>
      <c r="AH24" s="45"/>
      <c r="AI24" s="45"/>
      <c r="AJ24" s="45"/>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row>
    <row r="25" spans="2:73" s="18" customFormat="1">
      <c r="B25" s="412"/>
      <c r="C25" s="413"/>
      <c r="D25" s="414"/>
      <c r="E25" s="415" t="s">
        <v>97</v>
      </c>
      <c r="F25" s="415" t="s">
        <v>98</v>
      </c>
      <c r="G25" s="415"/>
      <c r="H25" s="469">
        <v>10424</v>
      </c>
      <c r="I25" s="999">
        <v>0</v>
      </c>
      <c r="J25" s="1000"/>
      <c r="K25" s="1001"/>
      <c r="L25" s="1002"/>
      <c r="M25" s="1000"/>
      <c r="N25" s="1000"/>
      <c r="O25" s="1000"/>
      <c r="P25" s="1000">
        <v>0</v>
      </c>
      <c r="Q25" s="1000"/>
      <c r="R25" s="1000"/>
      <c r="S25" s="1000"/>
      <c r="T25" s="1000"/>
      <c r="U25" s="1000"/>
      <c r="V25" s="1000"/>
      <c r="W25" s="1000"/>
      <c r="X25" s="1000"/>
      <c r="Y25" s="45"/>
      <c r="Z25" s="45">
        <v>2195</v>
      </c>
      <c r="AA25" s="45"/>
      <c r="AB25" s="45"/>
      <c r="AC25" s="45"/>
      <c r="AD25" s="45"/>
      <c r="AE25" s="45"/>
      <c r="AF25" s="45"/>
      <c r="AG25" s="45"/>
      <c r="AH25" s="45"/>
      <c r="AI25" s="45"/>
      <c r="AJ25" s="45"/>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row>
    <row r="26" spans="2:73" s="18" customFormat="1" ht="15.75" thickBot="1">
      <c r="B26" s="836"/>
      <c r="C26" s="837"/>
      <c r="D26" s="838" t="s">
        <v>100</v>
      </c>
      <c r="E26" s="838" t="s">
        <v>101</v>
      </c>
      <c r="F26" s="838"/>
      <c r="G26" s="838"/>
      <c r="H26" s="839">
        <v>10490</v>
      </c>
      <c r="I26" s="1003">
        <f>SUM(J26:X26)</f>
        <v>241830.77524999998</v>
      </c>
      <c r="J26" s="1004"/>
      <c r="K26" s="1005"/>
      <c r="L26" s="1006"/>
      <c r="M26" s="1007"/>
      <c r="N26" s="1007">
        <v>9992</v>
      </c>
      <c r="O26" s="1007">
        <v>74160.899999999965</v>
      </c>
      <c r="P26" s="1007">
        <v>54820.074000000001</v>
      </c>
      <c r="Q26" s="1007">
        <v>32262.00375</v>
      </c>
      <c r="R26" s="1007">
        <v>46177.677500000005</v>
      </c>
      <c r="S26" s="1007">
        <v>19654.449999999997</v>
      </c>
      <c r="T26" s="1007">
        <v>4763.67</v>
      </c>
      <c r="U26" s="1007"/>
      <c r="V26" s="1007"/>
      <c r="W26" s="1007"/>
      <c r="X26" s="1007"/>
      <c r="Y26" s="45"/>
      <c r="Z26" s="45"/>
      <c r="AA26" s="45"/>
      <c r="AB26" s="45"/>
      <c r="AC26" s="45"/>
      <c r="AD26" s="45"/>
      <c r="AE26" s="45"/>
      <c r="AF26" s="45"/>
      <c r="AG26" s="45"/>
      <c r="AH26" s="45"/>
      <c r="AI26" s="45"/>
      <c r="AJ26" s="45"/>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row>
    <row r="27" spans="2:73" s="18" customFormat="1">
      <c r="B27" s="416"/>
      <c r="C27" s="417" t="s">
        <v>105</v>
      </c>
      <c r="D27" s="418" t="s">
        <v>106</v>
      </c>
      <c r="E27" s="418"/>
      <c r="F27" s="418"/>
      <c r="G27" s="418"/>
      <c r="H27" s="470">
        <v>10500</v>
      </c>
      <c r="I27" s="1008">
        <f t="shared" ref="I27:I33" si="4">ROUND(SUM(J27:X27),0)</f>
        <v>1201171</v>
      </c>
      <c r="J27" s="1009">
        <f>+SUM(J28:J29)</f>
        <v>10822.839209999998</v>
      </c>
      <c r="K27" s="1010">
        <f>K29+K28</f>
        <v>34599.408770000002</v>
      </c>
      <c r="L27" s="1011">
        <f>+SUM(L28:L29)</f>
        <v>17071.838589999999</v>
      </c>
      <c r="M27" s="1012">
        <f t="shared" ref="M27:X27" si="5">+SUM(M28:M29)</f>
        <v>110938.53561000001</v>
      </c>
      <c r="N27" s="1012">
        <f t="shared" si="5"/>
        <v>97415.245045439515</v>
      </c>
      <c r="O27" s="1012">
        <f t="shared" si="5"/>
        <v>18571.423999999999</v>
      </c>
      <c r="P27" s="1012">
        <f t="shared" si="5"/>
        <v>373035.95182875602</v>
      </c>
      <c r="Q27" s="1012">
        <f t="shared" si="5"/>
        <v>178840.42963</v>
      </c>
      <c r="R27" s="1012">
        <f t="shared" si="5"/>
        <v>236750.18242210001</v>
      </c>
      <c r="S27" s="1009">
        <f t="shared" si="5"/>
        <v>0</v>
      </c>
      <c r="T27" s="1009">
        <f t="shared" si="5"/>
        <v>123125</v>
      </c>
      <c r="U27" s="1009">
        <f t="shared" si="5"/>
        <v>0</v>
      </c>
      <c r="V27" s="1009">
        <f t="shared" si="5"/>
        <v>0</v>
      </c>
      <c r="W27" s="1009">
        <f t="shared" si="5"/>
        <v>0</v>
      </c>
      <c r="X27" s="1009">
        <f t="shared" si="5"/>
        <v>0</v>
      </c>
      <c r="Y27" s="45"/>
      <c r="Z27" s="45"/>
      <c r="AA27" s="45"/>
      <c r="AB27" s="45"/>
      <c r="AC27" s="45"/>
      <c r="AD27" s="45"/>
      <c r="AE27" s="45"/>
      <c r="AF27" s="45"/>
      <c r="AG27" s="45"/>
      <c r="AH27" s="45"/>
      <c r="AI27" s="45"/>
      <c r="AJ27" s="45"/>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row>
    <row r="28" spans="2:73" s="18" customFormat="1">
      <c r="B28" s="831"/>
      <c r="C28" s="832"/>
      <c r="D28" s="825" t="s">
        <v>84</v>
      </c>
      <c r="E28" s="840" t="s">
        <v>108</v>
      </c>
      <c r="F28" s="758"/>
      <c r="G28" s="758"/>
      <c r="H28" s="833">
        <v>10510</v>
      </c>
      <c r="I28" s="987">
        <f t="shared" si="4"/>
        <v>1201171</v>
      </c>
      <c r="J28" s="1013">
        <v>10822.839209999998</v>
      </c>
      <c r="K28" s="1014">
        <v>34599.408770000002</v>
      </c>
      <c r="L28" s="1014">
        <v>17071.838589999999</v>
      </c>
      <c r="M28" s="1013">
        <v>110938.53561000001</v>
      </c>
      <c r="N28" s="1013">
        <v>97415.245045439515</v>
      </c>
      <c r="O28" s="1013">
        <v>18571.423999999999</v>
      </c>
      <c r="P28" s="1013">
        <v>373035.95182875602</v>
      </c>
      <c r="Q28" s="1013">
        <v>178840.42963</v>
      </c>
      <c r="R28" s="1013">
        <v>236750.18242210001</v>
      </c>
      <c r="S28" s="1013">
        <v>0</v>
      </c>
      <c r="T28" s="1013">
        <v>123125</v>
      </c>
      <c r="U28" s="1013">
        <v>0</v>
      </c>
      <c r="V28" s="1013">
        <v>0</v>
      </c>
      <c r="W28" s="1013">
        <v>0</v>
      </c>
      <c r="X28" s="1013">
        <v>0</v>
      </c>
      <c r="Y28" s="45">
        <v>0</v>
      </c>
      <c r="Z28" s="45"/>
      <c r="AA28" s="45"/>
      <c r="AB28" s="45"/>
      <c r="AC28" s="45"/>
      <c r="AD28" s="45"/>
      <c r="AE28" s="45"/>
      <c r="AF28" s="45"/>
      <c r="AG28" s="45"/>
      <c r="AH28" s="45"/>
      <c r="AI28" s="45"/>
      <c r="AJ28" s="45"/>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row>
    <row r="29" spans="2:73" s="18" customFormat="1" ht="15.75" thickBot="1">
      <c r="B29" s="836"/>
      <c r="C29" s="837"/>
      <c r="D29" s="838" t="s">
        <v>100</v>
      </c>
      <c r="E29" s="759" t="s">
        <v>112</v>
      </c>
      <c r="F29" s="759"/>
      <c r="G29" s="759"/>
      <c r="H29" s="839">
        <v>10520</v>
      </c>
      <c r="I29" s="1015">
        <f t="shared" si="4"/>
        <v>0</v>
      </c>
      <c r="J29" s="1016"/>
      <c r="K29" s="982"/>
      <c r="L29" s="1017"/>
      <c r="M29" s="1016"/>
      <c r="N29" s="1016"/>
      <c r="O29" s="1016"/>
      <c r="P29" s="1016"/>
      <c r="Q29" s="1016"/>
      <c r="R29" s="1016"/>
      <c r="S29" s="1016"/>
      <c r="T29" s="1016"/>
      <c r="U29" s="1016">
        <v>0</v>
      </c>
      <c r="V29" s="1016"/>
      <c r="W29" s="1016"/>
      <c r="X29" s="1016"/>
      <c r="Y29" s="45"/>
      <c r="Z29" s="45"/>
      <c r="AA29" s="45"/>
      <c r="AB29" s="45"/>
      <c r="AC29" s="45"/>
      <c r="AD29" s="45"/>
      <c r="AE29" s="45"/>
      <c r="AF29" s="45"/>
      <c r="AG29" s="45"/>
      <c r="AH29" s="45"/>
      <c r="AI29" s="45"/>
      <c r="AJ29" s="45"/>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row>
    <row r="30" spans="2:73" s="18" customFormat="1">
      <c r="B30" s="416"/>
      <c r="C30" s="417" t="s">
        <v>116</v>
      </c>
      <c r="D30" s="418" t="s">
        <v>117</v>
      </c>
      <c r="E30" s="308"/>
      <c r="F30" s="308"/>
      <c r="G30" s="308"/>
      <c r="H30" s="470">
        <v>10700</v>
      </c>
      <c r="I30" s="1018">
        <f t="shared" si="4"/>
        <v>0</v>
      </c>
      <c r="J30" s="1019">
        <f>+SUM(J31:J32)</f>
        <v>0</v>
      </c>
      <c r="K30" s="1011">
        <f t="shared" ref="K30:X30" si="6">+SUM(K31:K32)</f>
        <v>0</v>
      </c>
      <c r="L30" s="1011">
        <f>+L31+L32</f>
        <v>0</v>
      </c>
      <c r="M30" s="1019">
        <f t="shared" si="6"/>
        <v>0</v>
      </c>
      <c r="N30" s="1019">
        <f t="shared" si="6"/>
        <v>0</v>
      </c>
      <c r="O30" s="1019">
        <f t="shared" si="6"/>
        <v>0</v>
      </c>
      <c r="P30" s="1019">
        <f t="shared" si="6"/>
        <v>0</v>
      </c>
      <c r="Q30" s="1019">
        <f t="shared" si="6"/>
        <v>0</v>
      </c>
      <c r="R30" s="1019">
        <f t="shared" si="6"/>
        <v>0</v>
      </c>
      <c r="S30" s="1019">
        <f t="shared" si="6"/>
        <v>0</v>
      </c>
      <c r="T30" s="1019">
        <f t="shared" si="6"/>
        <v>0</v>
      </c>
      <c r="U30" s="1019">
        <f t="shared" si="6"/>
        <v>0</v>
      </c>
      <c r="V30" s="1019">
        <f t="shared" si="6"/>
        <v>0</v>
      </c>
      <c r="W30" s="1019">
        <f t="shared" si="6"/>
        <v>0</v>
      </c>
      <c r="X30" s="1019">
        <f t="shared" si="6"/>
        <v>0</v>
      </c>
      <c r="Y30" s="45"/>
      <c r="Z30" s="45"/>
      <c r="AA30" s="45"/>
      <c r="AB30" s="45"/>
      <c r="AC30" s="45"/>
      <c r="AD30" s="45"/>
      <c r="AE30" s="45"/>
      <c r="AF30" s="45"/>
      <c r="AG30" s="45"/>
      <c r="AH30" s="45"/>
      <c r="AI30" s="45"/>
      <c r="AJ30" s="45"/>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row>
    <row r="31" spans="2:73" s="18" customFormat="1" ht="15" customHeight="1">
      <c r="B31" s="823"/>
      <c r="C31" s="834"/>
      <c r="D31" s="841" t="s">
        <v>84</v>
      </c>
      <c r="E31" s="1266" t="s">
        <v>119</v>
      </c>
      <c r="F31" s="1266"/>
      <c r="G31" s="1266"/>
      <c r="H31" s="833">
        <v>10710</v>
      </c>
      <c r="I31" s="983">
        <f t="shared" si="4"/>
        <v>0</v>
      </c>
      <c r="J31" s="1020"/>
      <c r="K31" s="1021"/>
      <c r="L31" s="984"/>
      <c r="M31" s="1020"/>
      <c r="N31" s="1020"/>
      <c r="O31" s="1020"/>
      <c r="P31" s="1020"/>
      <c r="Q31" s="1020"/>
      <c r="R31" s="1020"/>
      <c r="S31" s="1020"/>
      <c r="T31" s="1020"/>
      <c r="U31" s="1020"/>
      <c r="V31" s="1020"/>
      <c r="W31" s="1020"/>
      <c r="X31" s="1020"/>
      <c r="Y31" s="45"/>
      <c r="Z31" s="45"/>
      <c r="AA31" s="45"/>
      <c r="AB31" s="45"/>
      <c r="AC31" s="45"/>
      <c r="AD31" s="45"/>
      <c r="AE31" s="45"/>
      <c r="AF31" s="45"/>
      <c r="AG31" s="45"/>
      <c r="AH31" s="45"/>
      <c r="AI31" s="45"/>
      <c r="AJ31" s="45"/>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row>
    <row r="32" spans="2:73" s="18" customFormat="1" ht="15.75" thickBot="1">
      <c r="B32" s="836"/>
      <c r="C32" s="837"/>
      <c r="D32" s="838" t="s">
        <v>100</v>
      </c>
      <c r="E32" s="759" t="s">
        <v>101</v>
      </c>
      <c r="F32" s="759"/>
      <c r="G32" s="759"/>
      <c r="H32" s="839">
        <v>10790</v>
      </c>
      <c r="I32" s="1022">
        <f t="shared" si="4"/>
        <v>0</v>
      </c>
      <c r="J32" s="1023"/>
      <c r="K32" s="1024"/>
      <c r="L32" s="980">
        <v>0</v>
      </c>
      <c r="M32" s="1023">
        <v>0</v>
      </c>
      <c r="N32" s="1023">
        <v>0</v>
      </c>
      <c r="O32" s="1023">
        <v>0</v>
      </c>
      <c r="P32" s="1023"/>
      <c r="Q32" s="1016">
        <v>0</v>
      </c>
      <c r="R32" s="1016"/>
      <c r="S32" s="1016"/>
      <c r="T32" s="1016"/>
      <c r="U32" s="1016"/>
      <c r="V32" s="1016"/>
      <c r="W32" s="1016"/>
      <c r="X32" s="1016"/>
      <c r="Y32" s="45" t="s">
        <v>305</v>
      </c>
      <c r="Z32" s="45"/>
      <c r="AA32" s="45"/>
      <c r="AB32" s="45"/>
      <c r="AC32" s="45"/>
      <c r="AD32" s="45"/>
      <c r="AE32" s="45"/>
      <c r="AF32" s="45"/>
      <c r="AG32" s="45"/>
      <c r="AH32" s="45"/>
      <c r="AI32" s="45"/>
      <c r="AJ32" s="45"/>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row>
    <row r="33" spans="2:73" s="18" customFormat="1" ht="15.75" thickBot="1">
      <c r="B33" s="458"/>
      <c r="C33" s="459" t="s">
        <v>124</v>
      </c>
      <c r="D33" s="460" t="s">
        <v>249</v>
      </c>
      <c r="E33" s="460"/>
      <c r="F33" s="460"/>
      <c r="G33" s="460"/>
      <c r="H33" s="471">
        <v>10600</v>
      </c>
      <c r="I33" s="1025">
        <f t="shared" si="4"/>
        <v>15454</v>
      </c>
      <c r="J33" s="1026">
        <f>(10041637.29+5412463.62)/1000</f>
        <v>15454.100910000001</v>
      </c>
      <c r="K33" s="461"/>
      <c r="L33" s="1026"/>
      <c r="M33" s="472"/>
      <c r="N33" s="1027"/>
      <c r="O33" s="1027"/>
      <c r="P33" s="1027"/>
      <c r="Q33" s="1027"/>
      <c r="R33" s="1027"/>
      <c r="S33" s="1027"/>
      <c r="T33" s="1027"/>
      <c r="U33" s="1027"/>
      <c r="V33" s="1027"/>
      <c r="W33" s="1027"/>
      <c r="X33" s="1027"/>
      <c r="Y33" s="45" t="s">
        <v>306</v>
      </c>
      <c r="Z33" s="45"/>
      <c r="AA33" s="45"/>
      <c r="AB33" s="45"/>
      <c r="AC33" s="45"/>
      <c r="AD33" s="45"/>
      <c r="AE33" s="45"/>
      <c r="AF33" s="45"/>
      <c r="AG33" s="45"/>
      <c r="AH33" s="45"/>
      <c r="AI33" s="45"/>
      <c r="AJ33" s="45"/>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row>
    <row r="34" spans="2:73" s="18" customFormat="1">
      <c r="B34" s="419"/>
      <c r="C34" s="420"/>
      <c r="D34" s="420"/>
      <c r="E34" s="420"/>
      <c r="F34" s="420"/>
      <c r="G34" s="420"/>
      <c r="H34" s="421"/>
      <c r="I34" s="422"/>
      <c r="J34" s="423"/>
      <c r="K34" s="423"/>
      <c r="L34" s="423"/>
      <c r="M34" s="423"/>
      <c r="N34" s="423"/>
      <c r="O34" s="423"/>
      <c r="P34" s="423"/>
      <c r="Q34" s="423"/>
      <c r="R34" s="423"/>
      <c r="S34" s="423"/>
      <c r="T34" s="423"/>
      <c r="U34" s="423"/>
      <c r="V34" s="423"/>
      <c r="W34" s="423"/>
      <c r="X34" s="424"/>
      <c r="Y34" s="45"/>
      <c r="Z34" s="45"/>
      <c r="AA34" s="45"/>
      <c r="AB34" s="45"/>
      <c r="AC34" s="45"/>
      <c r="AD34" s="45"/>
      <c r="AE34" s="45"/>
      <c r="AF34" s="45"/>
      <c r="AG34" s="45"/>
      <c r="AH34" s="45"/>
      <c r="AI34" s="45"/>
      <c r="AJ34" s="45"/>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row>
    <row r="35" spans="2:73" s="18" customFormat="1" ht="15.75" thickBot="1">
      <c r="B35" s="410"/>
      <c r="H35" s="425"/>
      <c r="I35" s="426"/>
      <c r="J35" s="1195">
        <f>J38-[4]SG!$J$38</f>
        <v>11934.748410000058</v>
      </c>
      <c r="K35" s="1196">
        <f>SUM(J40:L40)-SUM([4]SG!$J$40:$L$40)</f>
        <v>48960.120410000018</v>
      </c>
      <c r="X35" s="427"/>
      <c r="Y35" s="45"/>
      <c r="Z35" s="45"/>
      <c r="AA35" s="45"/>
      <c r="AB35" s="45"/>
      <c r="AC35" s="45"/>
      <c r="AD35" s="45"/>
      <c r="AE35" s="45"/>
      <c r="AF35" s="45"/>
      <c r="AG35" s="45"/>
      <c r="AH35" s="45"/>
      <c r="AI35" s="45"/>
      <c r="AJ35" s="45"/>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row>
    <row r="36" spans="2:73" s="18" customFormat="1">
      <c r="B36" s="428" t="s">
        <v>128</v>
      </c>
      <c r="C36" s="429" t="s">
        <v>4</v>
      </c>
      <c r="D36" s="430"/>
      <c r="E36" s="430"/>
      <c r="F36" s="430"/>
      <c r="G36" s="430"/>
      <c r="H36" s="473">
        <v>20000</v>
      </c>
      <c r="I36" s="1028">
        <f>ROUND(SUM(J36:X36),0)</f>
        <v>1856176</v>
      </c>
      <c r="J36" s="1029">
        <f>ROUND(+J37+J44+J45+J46+J50+J53+J56,0)</f>
        <v>231708</v>
      </c>
      <c r="K36" s="1030">
        <f>ROUND(+K37+K44+K45+K46+K50+K53+K56,0)</f>
        <v>159352</v>
      </c>
      <c r="L36" s="1030">
        <f>ROUND(+L37+L44+L45+L46+L50+L53+L56,0)</f>
        <v>158758</v>
      </c>
      <c r="M36" s="1030">
        <f t="shared" ref="M36:W36" si="7">ROUND(+M37+M44+M45+M46+M50+M53+M56,0)</f>
        <v>244121</v>
      </c>
      <c r="N36" s="1030">
        <f t="shared" si="7"/>
        <v>359613</v>
      </c>
      <c r="O36" s="1030">
        <f t="shared" si="7"/>
        <v>107713</v>
      </c>
      <c r="P36" s="1030">
        <f t="shared" si="7"/>
        <v>109911</v>
      </c>
      <c r="Q36" s="1030">
        <f t="shared" si="7"/>
        <v>0</v>
      </c>
      <c r="R36" s="1030">
        <f t="shared" si="7"/>
        <v>0</v>
      </c>
      <c r="S36" s="1030">
        <f t="shared" si="7"/>
        <v>485000</v>
      </c>
      <c r="T36" s="1030">
        <f t="shared" si="7"/>
        <v>0</v>
      </c>
      <c r="U36" s="1030">
        <f t="shared" si="7"/>
        <v>0</v>
      </c>
      <c r="V36" s="1030">
        <f t="shared" si="7"/>
        <v>0</v>
      </c>
      <c r="W36" s="1030">
        <f t="shared" si="7"/>
        <v>0</v>
      </c>
      <c r="X36" s="1030">
        <f>ROUND(+X37+X44+X45+X46+X50+X53+X56,0)</f>
        <v>0</v>
      </c>
      <c r="Y36" s="45"/>
      <c r="Z36" s="45"/>
      <c r="AA36" s="45"/>
      <c r="AB36" s="45"/>
      <c r="AC36" s="45"/>
      <c r="AD36" s="45"/>
      <c r="AE36" s="45"/>
      <c r="AF36" s="45"/>
      <c r="AG36" s="45"/>
      <c r="AH36" s="45"/>
      <c r="AI36" s="45"/>
      <c r="AJ36" s="45"/>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row>
    <row r="37" spans="2:73" s="18" customFormat="1">
      <c r="B37" s="829"/>
      <c r="C37" s="830" t="s">
        <v>66</v>
      </c>
      <c r="D37" s="820" t="s">
        <v>129</v>
      </c>
      <c r="E37" s="820"/>
      <c r="F37" s="820"/>
      <c r="G37" s="820"/>
      <c r="H37" s="842">
        <v>20100</v>
      </c>
      <c r="I37" s="977">
        <f>ROUND(SUM(J37:X37),0)</f>
        <v>368853</v>
      </c>
      <c r="J37" s="986">
        <f>+J38+J39+J40</f>
        <v>208177.52033000003</v>
      </c>
      <c r="K37" s="988">
        <f>+K38+K39+K40</f>
        <v>31351.806499999999</v>
      </c>
      <c r="L37" s="988">
        <f>+L38+L39+L40</f>
        <v>106757.55524000002</v>
      </c>
      <c r="M37" s="988">
        <f>+M38+M39+M40</f>
        <v>18121.297570000002</v>
      </c>
      <c r="N37" s="988">
        <f>+N38+N39+N40</f>
        <v>1732.0460799999998</v>
      </c>
      <c r="O37" s="988">
        <f t="shared" ref="O37:X37" si="8">+O38+O39+O40</f>
        <v>2713.0471299999999</v>
      </c>
      <c r="P37" s="1031">
        <f t="shared" si="8"/>
        <v>0</v>
      </c>
      <c r="Q37" s="1031">
        <f t="shared" si="8"/>
        <v>0</v>
      </c>
      <c r="R37" s="1031">
        <f t="shared" si="8"/>
        <v>0</v>
      </c>
      <c r="S37" s="1031">
        <f t="shared" si="8"/>
        <v>0</v>
      </c>
      <c r="T37" s="1031">
        <f t="shared" si="8"/>
        <v>0</v>
      </c>
      <c r="U37" s="1031">
        <f t="shared" si="8"/>
        <v>0</v>
      </c>
      <c r="V37" s="1031">
        <f t="shared" si="8"/>
        <v>0</v>
      </c>
      <c r="W37" s="1031">
        <f t="shared" si="8"/>
        <v>0</v>
      </c>
      <c r="X37" s="1031">
        <f t="shared" si="8"/>
        <v>0</v>
      </c>
      <c r="Y37" s="45"/>
      <c r="Z37" s="45"/>
      <c r="AA37" s="45"/>
      <c r="AB37" s="45"/>
      <c r="AC37" s="45"/>
      <c r="AD37" s="45"/>
      <c r="AE37" s="45"/>
      <c r="AF37" s="45"/>
      <c r="AG37" s="45"/>
      <c r="AH37" s="45"/>
      <c r="AI37" s="45"/>
      <c r="AJ37" s="45"/>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row>
    <row r="38" spans="2:73" s="18" customFormat="1">
      <c r="B38" s="831"/>
      <c r="C38" s="832"/>
      <c r="D38" s="825" t="s">
        <v>84</v>
      </c>
      <c r="E38" s="825" t="s">
        <v>131</v>
      </c>
      <c r="F38" s="825"/>
      <c r="G38" s="825"/>
      <c r="H38" s="833">
        <v>20110</v>
      </c>
      <c r="I38" s="983">
        <f>ROUND(SUM(J38:X38),0)</f>
        <v>184950</v>
      </c>
      <c r="J38" s="843">
        <f>(110353979.68+63118132.77+11478338.37)/1000</f>
        <v>184950.45082000003</v>
      </c>
      <c r="K38" s="1032"/>
      <c r="L38" s="1032"/>
      <c r="M38" s="1032"/>
      <c r="N38" s="1032"/>
      <c r="O38" s="1032"/>
      <c r="P38" s="1033"/>
      <c r="Q38" s="1033"/>
      <c r="R38" s="1033"/>
      <c r="S38" s="1033"/>
      <c r="T38" s="1033"/>
      <c r="U38" s="1033"/>
      <c r="V38" s="1033"/>
      <c r="W38" s="1033"/>
      <c r="X38" s="1033"/>
      <c r="Y38" s="45" t="s">
        <v>307</v>
      </c>
      <c r="Z38" s="45"/>
      <c r="AA38" s="45"/>
      <c r="AB38" s="45"/>
      <c r="AC38" s="45"/>
      <c r="AD38" s="45"/>
      <c r="AE38" s="45"/>
      <c r="AF38" s="45"/>
      <c r="AG38" s="45"/>
      <c r="AH38" s="45"/>
      <c r="AI38" s="45"/>
      <c r="AJ38" s="45"/>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row>
    <row r="39" spans="2:73" s="18" customFormat="1">
      <c r="B39" s="831"/>
      <c r="C39" s="832"/>
      <c r="D39" s="825" t="s">
        <v>100</v>
      </c>
      <c r="E39" s="825" t="s">
        <v>134</v>
      </c>
      <c r="F39" s="825"/>
      <c r="G39" s="825"/>
      <c r="H39" s="833">
        <v>20120</v>
      </c>
      <c r="I39" s="983">
        <f>ROUND(SUM(J39:X39),0)</f>
        <v>3121</v>
      </c>
      <c r="J39" s="381">
        <f>3121434.31/1000</f>
        <v>3121.4343100000001</v>
      </c>
      <c r="K39" s="1034"/>
      <c r="L39" s="1032"/>
      <c r="M39" s="1032"/>
      <c r="N39" s="1032"/>
      <c r="O39" s="1032"/>
      <c r="P39" s="1033"/>
      <c r="Q39" s="1033"/>
      <c r="R39" s="1033"/>
      <c r="S39" s="1033"/>
      <c r="T39" s="1033"/>
      <c r="U39" s="1033"/>
      <c r="V39" s="1033"/>
      <c r="W39" s="1033"/>
      <c r="X39" s="1033"/>
      <c r="Y39" s="45" t="s">
        <v>308</v>
      </c>
      <c r="Z39" s="45"/>
      <c r="AA39" s="45"/>
      <c r="AB39" s="45"/>
      <c r="AC39" s="45"/>
      <c r="AD39" s="45"/>
      <c r="AE39" s="45"/>
      <c r="AF39" s="45"/>
      <c r="AG39" s="45"/>
      <c r="AH39" s="45"/>
      <c r="AI39" s="45"/>
      <c r="AJ39" s="45"/>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row>
    <row r="40" spans="2:73" s="18" customFormat="1">
      <c r="B40" s="831"/>
      <c r="C40" s="832"/>
      <c r="D40" s="825" t="s">
        <v>137</v>
      </c>
      <c r="E40" s="825" t="s">
        <v>138</v>
      </c>
      <c r="F40" s="825"/>
      <c r="G40" s="825"/>
      <c r="H40" s="833">
        <v>20130</v>
      </c>
      <c r="I40" s="983">
        <f>ROUND(SUM(J40:X40),0)</f>
        <v>180781</v>
      </c>
      <c r="J40" s="987">
        <f t="shared" ref="J40:O40" si="9">J41+J42+J43</f>
        <v>20105.635200000001</v>
      </c>
      <c r="K40" s="1035">
        <f>K41+K42+K43</f>
        <v>31351.806499999999</v>
      </c>
      <c r="L40" s="987">
        <f t="shared" si="9"/>
        <v>106757.55524000002</v>
      </c>
      <c r="M40" s="987">
        <f t="shared" si="9"/>
        <v>18121.297570000002</v>
      </c>
      <c r="N40" s="987">
        <f t="shared" si="9"/>
        <v>1732.0460799999998</v>
      </c>
      <c r="O40" s="987">
        <f t="shared" si="9"/>
        <v>2713.0471299999999</v>
      </c>
      <c r="P40" s="988">
        <v>0</v>
      </c>
      <c r="Q40" s="988">
        <v>0</v>
      </c>
      <c r="R40" s="988">
        <f t="shared" ref="R40:X40" si="10">+SUM(R41:R43)</f>
        <v>0</v>
      </c>
      <c r="S40" s="988">
        <f t="shared" si="10"/>
        <v>0</v>
      </c>
      <c r="T40" s="988">
        <f t="shared" si="10"/>
        <v>0</v>
      </c>
      <c r="U40" s="988">
        <f t="shared" si="10"/>
        <v>0</v>
      </c>
      <c r="V40" s="988">
        <f t="shared" si="10"/>
        <v>0</v>
      </c>
      <c r="W40" s="988">
        <f t="shared" si="10"/>
        <v>0</v>
      </c>
      <c r="X40" s="988">
        <f t="shared" si="10"/>
        <v>0</v>
      </c>
      <c r="Y40" s="45"/>
      <c r="Z40" s="45"/>
      <c r="AA40" s="45"/>
      <c r="AB40" s="45"/>
      <c r="AC40" s="45"/>
      <c r="AD40" s="45"/>
      <c r="AE40" s="45"/>
      <c r="AF40" s="45"/>
      <c r="AG40" s="45"/>
      <c r="AH40" s="45"/>
      <c r="AI40" s="45"/>
      <c r="AJ40" s="45"/>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row>
    <row r="41" spans="2:73" s="18" customFormat="1" ht="15.75" thickBot="1">
      <c r="B41" s="831"/>
      <c r="C41" s="832"/>
      <c r="D41" s="825"/>
      <c r="E41" s="825" t="s">
        <v>87</v>
      </c>
      <c r="F41" s="825" t="s">
        <v>250</v>
      </c>
      <c r="G41" s="825"/>
      <c r="H41" s="833">
        <v>20131</v>
      </c>
      <c r="I41" s="1015">
        <f>SUM(J41:M41)</f>
        <v>0</v>
      </c>
      <c r="J41" s="1036"/>
      <c r="K41" s="1037"/>
      <c r="L41" s="1037">
        <v>0</v>
      </c>
      <c r="M41" s="1037"/>
      <c r="N41" s="1037"/>
      <c r="O41" s="1037"/>
      <c r="P41" s="1016"/>
      <c r="Q41" s="1016"/>
      <c r="R41" s="1016"/>
      <c r="S41" s="1016"/>
      <c r="T41" s="1016"/>
      <c r="U41" s="1016"/>
      <c r="V41" s="1016"/>
      <c r="W41" s="1016"/>
      <c r="X41" s="1016"/>
      <c r="Y41" s="45"/>
      <c r="Z41" s="45"/>
      <c r="AA41" s="45"/>
      <c r="AB41" s="45"/>
      <c r="AC41" s="45"/>
      <c r="AD41" s="45"/>
      <c r="AE41" s="45"/>
      <c r="AF41" s="45"/>
      <c r="AG41" s="45"/>
      <c r="AH41" s="45"/>
      <c r="AI41" s="45"/>
      <c r="AJ41" s="45"/>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row>
    <row r="42" spans="2:73" s="18" customFormat="1" ht="15.75" thickBot="1">
      <c r="B42" s="831"/>
      <c r="C42" s="832"/>
      <c r="D42" s="825"/>
      <c r="E42" s="825" t="s">
        <v>90</v>
      </c>
      <c r="F42" s="1118" t="s">
        <v>142</v>
      </c>
      <c r="G42" s="825"/>
      <c r="H42" s="833">
        <v>20132</v>
      </c>
      <c r="I42" s="983">
        <f>ROUND(SUM(J42:X42),0)</f>
        <v>180781</v>
      </c>
      <c r="J42" s="731">
        <v>20105.635200000001</v>
      </c>
      <c r="K42" s="1038">
        <v>31351.806499999999</v>
      </c>
      <c r="L42" s="1013">
        <v>106757.55524000002</v>
      </c>
      <c r="M42" s="1013">
        <v>18121.297570000002</v>
      </c>
      <c r="N42" s="1013">
        <v>1732.0460799999998</v>
      </c>
      <c r="O42" s="1013">
        <v>2713.0471299999999</v>
      </c>
      <c r="P42" s="1020"/>
      <c r="Q42" s="1020"/>
      <c r="R42" s="1020"/>
      <c r="S42" s="1020"/>
      <c r="T42" s="1020"/>
      <c r="U42" s="1020"/>
      <c r="V42" s="1020"/>
      <c r="W42" s="1020"/>
      <c r="X42" s="1020"/>
      <c r="Y42" s="85"/>
      <c r="Z42" s="45"/>
      <c r="AA42" s="45"/>
      <c r="AB42" s="45"/>
      <c r="AC42" s="45"/>
      <c r="AD42" s="45"/>
      <c r="AE42" s="45"/>
      <c r="AF42" s="45"/>
      <c r="AG42" s="45"/>
      <c r="AH42" s="45"/>
      <c r="AI42" s="45"/>
      <c r="AJ42" s="45"/>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row>
    <row r="43" spans="2:73" s="18" customFormat="1">
      <c r="B43" s="831"/>
      <c r="C43" s="832"/>
      <c r="D43" s="825"/>
      <c r="E43" s="825" t="s">
        <v>93</v>
      </c>
      <c r="F43" s="825" t="s">
        <v>101</v>
      </c>
      <c r="G43" s="825"/>
      <c r="H43" s="833">
        <v>20139</v>
      </c>
      <c r="I43" s="1015">
        <f>ROUND(SUM(J43:X43),0)</f>
        <v>0</v>
      </c>
      <c r="J43" s="982">
        <v>0</v>
      </c>
      <c r="K43" s="1039">
        <v>0</v>
      </c>
      <c r="L43" s="1016">
        <v>0</v>
      </c>
      <c r="M43" s="1016">
        <v>0</v>
      </c>
      <c r="N43" s="1016">
        <v>0</v>
      </c>
      <c r="O43" s="1016">
        <v>0</v>
      </c>
      <c r="P43" s="1016">
        <v>0</v>
      </c>
      <c r="Q43" s="1016"/>
      <c r="R43" s="1016"/>
      <c r="S43" s="1016"/>
      <c r="T43" s="1016"/>
      <c r="U43" s="1016"/>
      <c r="V43" s="1016"/>
      <c r="W43" s="1016"/>
      <c r="X43" s="1016"/>
      <c r="Y43" s="88"/>
      <c r="Z43" s="45"/>
      <c r="AA43" s="45"/>
      <c r="AB43" s="45"/>
      <c r="AC43" s="45"/>
      <c r="AD43" s="45"/>
      <c r="AE43" s="45"/>
      <c r="AF43" s="45"/>
      <c r="AG43" s="45"/>
      <c r="AH43" s="45"/>
      <c r="AI43" s="45"/>
      <c r="AJ43" s="45"/>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row>
    <row r="44" spans="2:73" s="18" customFormat="1">
      <c r="B44" s="831"/>
      <c r="C44" s="844" t="s">
        <v>73</v>
      </c>
      <c r="D44" s="825" t="s">
        <v>147</v>
      </c>
      <c r="E44" s="825"/>
      <c r="F44" s="825"/>
      <c r="G44" s="825"/>
      <c r="H44" s="833">
        <v>20200</v>
      </c>
      <c r="I44" s="1015">
        <f>ROUND(SUM(J44:X44),0)</f>
        <v>0</v>
      </c>
      <c r="J44" s="1040">
        <v>0</v>
      </c>
      <c r="K44" s="982">
        <v>0</v>
      </c>
      <c r="L44" s="1016">
        <v>0</v>
      </c>
      <c r="M44" s="1016">
        <v>0</v>
      </c>
      <c r="N44" s="1016">
        <v>0</v>
      </c>
      <c r="O44" s="1016">
        <v>0</v>
      </c>
      <c r="P44" s="1016">
        <v>0</v>
      </c>
      <c r="Q44" s="1016"/>
      <c r="R44" s="1016"/>
      <c r="S44" s="1016"/>
      <c r="T44" s="1016"/>
      <c r="U44" s="1016"/>
      <c r="V44" s="1016"/>
      <c r="W44" s="1016"/>
      <c r="X44" s="1016"/>
      <c r="Y44" s="85"/>
      <c r="Z44" s="45"/>
      <c r="AA44" s="45"/>
      <c r="AB44" s="45"/>
      <c r="AC44" s="45"/>
      <c r="AD44" s="45"/>
      <c r="AE44" s="45"/>
      <c r="AF44" s="45"/>
      <c r="AG44" s="45"/>
      <c r="AH44" s="45"/>
      <c r="AI44" s="45"/>
      <c r="AJ44" s="45"/>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row>
    <row r="45" spans="2:73" s="18" customFormat="1">
      <c r="B45" s="831"/>
      <c r="C45" s="844" t="s">
        <v>77</v>
      </c>
      <c r="D45" s="1118" t="s">
        <v>150</v>
      </c>
      <c r="E45" s="825"/>
      <c r="F45" s="825"/>
      <c r="G45" s="825"/>
      <c r="H45" s="833">
        <v>20300</v>
      </c>
      <c r="I45" s="983">
        <f>ROUND(SUM(J45:X45),0)</f>
        <v>1485792</v>
      </c>
      <c r="J45" s="1014">
        <v>22000</v>
      </c>
      <c r="K45" s="732">
        <v>128000</v>
      </c>
      <c r="L45" s="733">
        <v>52000</v>
      </c>
      <c r="M45" s="1041">
        <v>226000</v>
      </c>
      <c r="N45" s="1041">
        <v>357881.12974999996</v>
      </c>
      <c r="O45" s="1041">
        <v>105000</v>
      </c>
      <c r="P45" s="1041">
        <v>109910.54543000001</v>
      </c>
      <c r="Q45" s="1041"/>
      <c r="R45" s="1041"/>
      <c r="S45" s="1041">
        <v>485000</v>
      </c>
      <c r="T45" s="1041"/>
      <c r="U45" s="1041"/>
      <c r="V45" s="1041"/>
      <c r="W45" s="1041"/>
      <c r="X45" s="1041"/>
      <c r="Y45" s="45"/>
      <c r="Z45" s="45"/>
      <c r="AA45" s="45"/>
      <c r="AB45" s="45"/>
      <c r="AC45" s="45"/>
      <c r="AD45" s="45"/>
      <c r="AE45" s="45"/>
      <c r="AF45" s="45"/>
      <c r="AG45" s="45"/>
      <c r="AH45" s="45"/>
      <c r="AI45" s="45"/>
      <c r="AJ45" s="45"/>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row>
    <row r="46" spans="2:73" s="18" customFormat="1" ht="15.75" thickBot="1">
      <c r="B46" s="829"/>
      <c r="C46" s="830" t="s">
        <v>81</v>
      </c>
      <c r="D46" s="820" t="s">
        <v>153</v>
      </c>
      <c r="E46" s="820"/>
      <c r="F46" s="820"/>
      <c r="G46" s="820"/>
      <c r="H46" s="842">
        <v>20400</v>
      </c>
      <c r="I46" s="977">
        <f t="shared" ref="I46:I55" si="11">ROUND(SUM(J46:X46),0)</f>
        <v>0</v>
      </c>
      <c r="J46" s="1042">
        <f>+SUM(J47:J49)</f>
        <v>0</v>
      </c>
      <c r="K46" s="1043">
        <f t="shared" ref="K46:X46" si="12">+SUM(K47:K49)</f>
        <v>0</v>
      </c>
      <c r="L46" s="1044">
        <f t="shared" si="12"/>
        <v>0</v>
      </c>
      <c r="M46" s="1044">
        <v>0</v>
      </c>
      <c r="N46" s="1044">
        <v>0</v>
      </c>
      <c r="O46" s="1044">
        <v>0</v>
      </c>
      <c r="P46" s="1044">
        <f t="shared" si="12"/>
        <v>0</v>
      </c>
      <c r="Q46" s="1044">
        <f t="shared" si="12"/>
        <v>0</v>
      </c>
      <c r="R46" s="1044">
        <f t="shared" si="12"/>
        <v>0</v>
      </c>
      <c r="S46" s="1044">
        <f t="shared" si="12"/>
        <v>0</v>
      </c>
      <c r="T46" s="1044">
        <f t="shared" si="12"/>
        <v>0</v>
      </c>
      <c r="U46" s="1044">
        <f t="shared" si="12"/>
        <v>0</v>
      </c>
      <c r="V46" s="1044">
        <f t="shared" si="12"/>
        <v>0</v>
      </c>
      <c r="W46" s="1044">
        <f t="shared" si="12"/>
        <v>0</v>
      </c>
      <c r="X46" s="1044">
        <f t="shared" si="12"/>
        <v>0</v>
      </c>
      <c r="Y46" s="45"/>
      <c r="Z46" s="45"/>
      <c r="AA46" s="45"/>
      <c r="AB46" s="45"/>
      <c r="AC46" s="45"/>
      <c r="AD46" s="45"/>
      <c r="AE46" s="45"/>
      <c r="AF46" s="45"/>
      <c r="AG46" s="45"/>
      <c r="AH46" s="45"/>
      <c r="AI46" s="45"/>
      <c r="AJ46" s="45"/>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row>
    <row r="47" spans="2:73" s="18" customFormat="1">
      <c r="B47" s="831"/>
      <c r="C47" s="832"/>
      <c r="D47" s="825" t="s">
        <v>84</v>
      </c>
      <c r="E47" s="825" t="s">
        <v>155</v>
      </c>
      <c r="F47" s="825"/>
      <c r="G47" s="825"/>
      <c r="H47" s="833">
        <v>20410</v>
      </c>
      <c r="I47" s="1015">
        <f t="shared" si="11"/>
        <v>0</v>
      </c>
      <c r="J47" s="982"/>
      <c r="K47" s="1045"/>
      <c r="L47" s="1016"/>
      <c r="M47" s="1016"/>
      <c r="N47" s="1016"/>
      <c r="O47" s="1016"/>
      <c r="P47" s="1016"/>
      <c r="Q47" s="1016"/>
      <c r="R47" s="1016"/>
      <c r="S47" s="1016"/>
      <c r="T47" s="1016"/>
      <c r="U47" s="1016"/>
      <c r="V47" s="1016"/>
      <c r="W47" s="1016"/>
      <c r="X47" s="1016"/>
      <c r="Y47" s="85"/>
      <c r="Z47" s="45"/>
      <c r="AA47" s="45"/>
      <c r="AB47" s="45"/>
      <c r="AC47" s="45"/>
      <c r="AD47" s="45"/>
      <c r="AE47" s="45"/>
      <c r="AF47" s="45"/>
      <c r="AG47" s="45"/>
      <c r="AH47" s="45"/>
      <c r="AI47" s="45"/>
      <c r="AJ47" s="45"/>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row>
    <row r="48" spans="2:73" s="18" customFormat="1">
      <c r="B48" s="831"/>
      <c r="C48" s="832"/>
      <c r="D48" s="825" t="s">
        <v>100</v>
      </c>
      <c r="E48" s="825" t="s">
        <v>157</v>
      </c>
      <c r="F48" s="825"/>
      <c r="G48" s="825"/>
      <c r="H48" s="833">
        <v>20420</v>
      </c>
      <c r="I48" s="1015">
        <f t="shared" si="11"/>
        <v>0</v>
      </c>
      <c r="J48" s="982"/>
      <c r="K48" s="1016"/>
      <c r="L48" s="1016"/>
      <c r="M48" s="1016"/>
      <c r="N48" s="1016"/>
      <c r="O48" s="1016"/>
      <c r="P48" s="1016"/>
      <c r="Q48" s="1016"/>
      <c r="R48" s="1016"/>
      <c r="S48" s="1016"/>
      <c r="T48" s="1016"/>
      <c r="U48" s="1016"/>
      <c r="V48" s="1016"/>
      <c r="W48" s="1016"/>
      <c r="X48" s="1016"/>
      <c r="Y48" s="45"/>
      <c r="Z48" s="45"/>
      <c r="AA48" s="45"/>
      <c r="AB48" s="45"/>
      <c r="AC48" s="45"/>
      <c r="AD48" s="45"/>
      <c r="AE48" s="45"/>
      <c r="AF48" s="45"/>
      <c r="AG48" s="45"/>
      <c r="AH48" s="45"/>
      <c r="AI48" s="45"/>
      <c r="AJ48" s="45"/>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row>
    <row r="49" spans="2:73" s="18" customFormat="1">
      <c r="B49" s="831"/>
      <c r="C49" s="832"/>
      <c r="D49" s="825" t="s">
        <v>137</v>
      </c>
      <c r="E49" s="825" t="s">
        <v>101</v>
      </c>
      <c r="F49" s="825"/>
      <c r="G49" s="825"/>
      <c r="H49" s="833">
        <v>20490</v>
      </c>
      <c r="I49" s="1015">
        <f t="shared" si="11"/>
        <v>0</v>
      </c>
      <c r="J49" s="982"/>
      <c r="K49" s="1016"/>
      <c r="L49" s="1016"/>
      <c r="M49" s="1016"/>
      <c r="N49" s="1016"/>
      <c r="O49" s="1016"/>
      <c r="P49" s="1016"/>
      <c r="Q49" s="1016"/>
      <c r="R49" s="1016"/>
      <c r="S49" s="1016"/>
      <c r="T49" s="1016"/>
      <c r="U49" s="1016"/>
      <c r="V49" s="1016"/>
      <c r="W49" s="1016"/>
      <c r="X49" s="1016"/>
      <c r="Y49" s="45"/>
      <c r="Z49" s="45"/>
      <c r="AA49" s="45"/>
      <c r="AB49" s="45"/>
      <c r="AC49" s="45"/>
      <c r="AD49" s="45"/>
      <c r="AE49" s="45"/>
      <c r="AF49" s="45"/>
      <c r="AG49" s="45"/>
      <c r="AH49" s="45"/>
      <c r="AI49" s="45"/>
      <c r="AJ49" s="45"/>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row>
    <row r="50" spans="2:73" s="18" customFormat="1">
      <c r="B50" s="829"/>
      <c r="C50" s="830" t="s">
        <v>105</v>
      </c>
      <c r="D50" s="820" t="s">
        <v>160</v>
      </c>
      <c r="E50" s="820"/>
      <c r="F50" s="820"/>
      <c r="G50" s="820"/>
      <c r="H50" s="842">
        <v>20500</v>
      </c>
      <c r="I50" s="977">
        <f t="shared" si="11"/>
        <v>0</v>
      </c>
      <c r="J50" s="1042">
        <f>+SUM(J51:J52)</f>
        <v>0</v>
      </c>
      <c r="K50" s="1044">
        <f t="shared" ref="K50:X50" si="13">+SUM(K51:K52)</f>
        <v>0</v>
      </c>
      <c r="L50" s="1044">
        <f t="shared" si="13"/>
        <v>0</v>
      </c>
      <c r="M50" s="1044">
        <f t="shared" si="13"/>
        <v>0</v>
      </c>
      <c r="N50" s="1044">
        <f t="shared" si="13"/>
        <v>0</v>
      </c>
      <c r="O50" s="1044">
        <f t="shared" si="13"/>
        <v>0</v>
      </c>
      <c r="P50" s="1044">
        <f t="shared" si="13"/>
        <v>0</v>
      </c>
      <c r="Q50" s="1044">
        <f t="shared" si="13"/>
        <v>0</v>
      </c>
      <c r="R50" s="1044">
        <f t="shared" si="13"/>
        <v>0</v>
      </c>
      <c r="S50" s="1044">
        <f t="shared" si="13"/>
        <v>0</v>
      </c>
      <c r="T50" s="1044">
        <f t="shared" si="13"/>
        <v>0</v>
      </c>
      <c r="U50" s="1044">
        <f t="shared" si="13"/>
        <v>0</v>
      </c>
      <c r="V50" s="1044">
        <f t="shared" si="13"/>
        <v>0</v>
      </c>
      <c r="W50" s="1044">
        <f t="shared" si="13"/>
        <v>0</v>
      </c>
      <c r="X50" s="1044">
        <f t="shared" si="13"/>
        <v>0</v>
      </c>
      <c r="Y50" s="45"/>
      <c r="Z50" s="45"/>
      <c r="AA50" s="45"/>
      <c r="AB50" s="45"/>
      <c r="AC50" s="45"/>
      <c r="AD50" s="45"/>
      <c r="AE50" s="45"/>
      <c r="AF50" s="45"/>
      <c r="AG50" s="45"/>
      <c r="AH50" s="45"/>
      <c r="AI50" s="45"/>
      <c r="AJ50" s="45"/>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row>
    <row r="51" spans="2:73" s="18" customFormat="1">
      <c r="B51" s="831"/>
      <c r="C51" s="832"/>
      <c r="D51" s="825" t="s">
        <v>84</v>
      </c>
      <c r="E51" s="825" t="s">
        <v>162</v>
      </c>
      <c r="F51" s="825"/>
      <c r="G51" s="825"/>
      <c r="H51" s="833">
        <v>20510</v>
      </c>
      <c r="I51" s="1015">
        <f t="shared" si="11"/>
        <v>0</v>
      </c>
      <c r="J51" s="980"/>
      <c r="K51" s="1023"/>
      <c r="L51" s="1023"/>
      <c r="M51" s="1023"/>
      <c r="N51" s="1023"/>
      <c r="O51" s="1023"/>
      <c r="P51" s="1023"/>
      <c r="Q51" s="1023"/>
      <c r="R51" s="1023"/>
      <c r="S51" s="1023"/>
      <c r="T51" s="1023"/>
      <c r="U51" s="1023"/>
      <c r="V51" s="1023"/>
      <c r="W51" s="1023"/>
      <c r="X51" s="1023"/>
      <c r="Y51" s="45"/>
      <c r="Z51" s="45"/>
      <c r="AA51" s="45"/>
      <c r="AB51" s="45"/>
      <c r="AC51" s="45"/>
      <c r="AD51" s="45"/>
      <c r="AE51" s="45"/>
      <c r="AF51" s="45"/>
      <c r="AG51" s="45"/>
      <c r="AH51" s="45"/>
      <c r="AI51" s="45"/>
      <c r="AJ51" s="45"/>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row>
    <row r="52" spans="2:73" s="18" customFormat="1">
      <c r="B52" s="831"/>
      <c r="C52" s="832"/>
      <c r="D52" s="825" t="s">
        <v>100</v>
      </c>
      <c r="E52" s="825" t="s">
        <v>101</v>
      </c>
      <c r="F52" s="825"/>
      <c r="G52" s="825"/>
      <c r="H52" s="833">
        <v>20590</v>
      </c>
      <c r="I52" s="1015">
        <f t="shared" si="11"/>
        <v>0</v>
      </c>
      <c r="J52" s="980"/>
      <c r="K52" s="1023"/>
      <c r="L52" s="1023"/>
      <c r="M52" s="1023"/>
      <c r="N52" s="1023"/>
      <c r="O52" s="1023"/>
      <c r="P52" s="1023"/>
      <c r="Q52" s="1023"/>
      <c r="R52" s="1023"/>
      <c r="S52" s="1023"/>
      <c r="T52" s="1023"/>
      <c r="U52" s="1023"/>
      <c r="V52" s="1023"/>
      <c r="W52" s="1023"/>
      <c r="X52" s="1023"/>
      <c r="Y52" s="45"/>
      <c r="Z52" s="45"/>
      <c r="AA52" s="45"/>
      <c r="AB52" s="45"/>
      <c r="AC52" s="45"/>
      <c r="AD52" s="45"/>
      <c r="AE52" s="45"/>
      <c r="AF52" s="45"/>
      <c r="AG52" s="45"/>
      <c r="AH52" s="45"/>
      <c r="AI52" s="45"/>
      <c r="AJ52" s="45"/>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row>
    <row r="53" spans="2:73" s="18" customFormat="1">
      <c r="B53" s="829"/>
      <c r="C53" s="830" t="s">
        <v>116</v>
      </c>
      <c r="D53" s="820" t="s">
        <v>167</v>
      </c>
      <c r="E53" s="820"/>
      <c r="F53" s="820"/>
      <c r="G53" s="820"/>
      <c r="H53" s="842">
        <v>20700</v>
      </c>
      <c r="I53" s="977">
        <f t="shared" si="11"/>
        <v>0</v>
      </c>
      <c r="J53" s="1046">
        <f>+SUM(J54:J55)</f>
        <v>0</v>
      </c>
      <c r="K53" s="1047">
        <f t="shared" ref="K53:X53" si="14">+SUM(K54:K55)</f>
        <v>0</v>
      </c>
      <c r="L53" s="1047">
        <f t="shared" si="14"/>
        <v>0</v>
      </c>
      <c r="M53" s="1047">
        <f>+SUM(M54:M55)</f>
        <v>0</v>
      </c>
      <c r="N53" s="1047">
        <f t="shared" si="14"/>
        <v>0</v>
      </c>
      <c r="O53" s="1047">
        <f t="shared" si="14"/>
        <v>0</v>
      </c>
      <c r="P53" s="1047">
        <f t="shared" si="14"/>
        <v>0</v>
      </c>
      <c r="Q53" s="1047">
        <f t="shared" si="14"/>
        <v>0</v>
      </c>
      <c r="R53" s="1047">
        <f t="shared" si="14"/>
        <v>0</v>
      </c>
      <c r="S53" s="1047">
        <f t="shared" si="14"/>
        <v>0</v>
      </c>
      <c r="T53" s="1047">
        <f t="shared" si="14"/>
        <v>0</v>
      </c>
      <c r="U53" s="1047">
        <f t="shared" si="14"/>
        <v>0</v>
      </c>
      <c r="V53" s="1047">
        <f t="shared" si="14"/>
        <v>0</v>
      </c>
      <c r="W53" s="1047">
        <f t="shared" si="14"/>
        <v>0</v>
      </c>
      <c r="X53" s="1047">
        <f t="shared" si="14"/>
        <v>0</v>
      </c>
      <c r="Y53" s="45"/>
      <c r="Z53" s="45"/>
      <c r="AA53" s="45"/>
      <c r="AB53" s="45"/>
      <c r="AC53" s="45"/>
      <c r="AD53" s="45"/>
      <c r="AE53" s="45"/>
      <c r="AF53" s="45"/>
      <c r="AG53" s="45"/>
      <c r="AH53" s="45"/>
      <c r="AI53" s="45"/>
      <c r="AJ53" s="45"/>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row>
    <row r="54" spans="2:73" s="18" customFormat="1" ht="15" customHeight="1">
      <c r="B54" s="831"/>
      <c r="C54" s="832"/>
      <c r="D54" s="825" t="s">
        <v>84</v>
      </c>
      <c r="E54" s="1265" t="s">
        <v>170</v>
      </c>
      <c r="F54" s="1265"/>
      <c r="G54" s="1265"/>
      <c r="H54" s="833">
        <v>20710</v>
      </c>
      <c r="I54" s="1015">
        <f t="shared" si="11"/>
        <v>0</v>
      </c>
      <c r="J54" s="980"/>
      <c r="K54" s="1023"/>
      <c r="L54" s="1023"/>
      <c r="M54" s="1023"/>
      <c r="N54" s="1023"/>
      <c r="O54" s="1023"/>
      <c r="P54" s="1023"/>
      <c r="Q54" s="1023"/>
      <c r="R54" s="1023"/>
      <c r="S54" s="1023"/>
      <c r="T54" s="1023"/>
      <c r="U54" s="1023"/>
      <c r="V54" s="1023"/>
      <c r="W54" s="1023"/>
      <c r="X54" s="1023"/>
      <c r="Y54" s="45"/>
      <c r="Z54" s="45"/>
      <c r="AA54" s="45"/>
      <c r="AB54" s="45"/>
      <c r="AC54" s="45"/>
      <c r="AD54" s="45"/>
      <c r="AE54" s="45"/>
      <c r="AF54" s="45"/>
      <c r="AG54" s="45"/>
      <c r="AH54" s="45"/>
      <c r="AI54" s="45"/>
      <c r="AJ54" s="45"/>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row>
    <row r="55" spans="2:73" s="18" customFormat="1">
      <c r="B55" s="831"/>
      <c r="C55" s="832"/>
      <c r="D55" s="825" t="s">
        <v>100</v>
      </c>
      <c r="E55" s="825" t="s">
        <v>101</v>
      </c>
      <c r="F55" s="825"/>
      <c r="G55" s="825"/>
      <c r="H55" s="833">
        <v>20790</v>
      </c>
      <c r="I55" s="1015">
        <f t="shared" si="11"/>
        <v>0</v>
      </c>
      <c r="J55" s="980"/>
      <c r="K55" s="1023">
        <v>0</v>
      </c>
      <c r="L55" s="1023">
        <v>0</v>
      </c>
      <c r="M55" s="1023">
        <v>0</v>
      </c>
      <c r="N55" s="1023"/>
      <c r="O55" s="1023">
        <v>0</v>
      </c>
      <c r="P55" s="1023">
        <v>0</v>
      </c>
      <c r="Q55" s="1023"/>
      <c r="R55" s="1023"/>
      <c r="S55" s="1023"/>
      <c r="T55" s="1023"/>
      <c r="U55" s="1023"/>
      <c r="V55" s="1023"/>
      <c r="W55" s="1023"/>
      <c r="X55" s="1023"/>
      <c r="Y55" s="45"/>
      <c r="Z55" s="45"/>
      <c r="AA55" s="45"/>
      <c r="AB55" s="45"/>
      <c r="AC55" s="45"/>
      <c r="AD55" s="45"/>
      <c r="AE55" s="45"/>
      <c r="AF55" s="45"/>
      <c r="AG55" s="45"/>
      <c r="AH55" s="45"/>
      <c r="AI55" s="45"/>
      <c r="AJ55" s="45"/>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row>
    <row r="56" spans="2:73" s="18" customFormat="1" ht="15.75" thickBot="1">
      <c r="B56" s="836"/>
      <c r="C56" s="845" t="s">
        <v>124</v>
      </c>
      <c r="D56" s="754" t="s">
        <v>249</v>
      </c>
      <c r="E56" s="838"/>
      <c r="F56" s="838"/>
      <c r="G56" s="838"/>
      <c r="H56" s="839">
        <v>20600</v>
      </c>
      <c r="I56" s="1048">
        <f>ROUND(SUM(J56:X56),0)</f>
        <v>1531</v>
      </c>
      <c r="J56" s="382">
        <f>(1465724.04+64858.17)/1000</f>
        <v>1530.58221</v>
      </c>
      <c r="K56" s="382"/>
      <c r="L56" s="382"/>
      <c r="M56" s="1049"/>
      <c r="N56" s="1049"/>
      <c r="O56" s="1004"/>
      <c r="P56" s="1004"/>
      <c r="Q56" s="1004"/>
      <c r="R56" s="1004"/>
      <c r="S56" s="1004"/>
      <c r="T56" s="1004"/>
      <c r="U56" s="1004"/>
      <c r="V56" s="1004"/>
      <c r="W56" s="1004"/>
      <c r="X56" s="1004">
        <v>0</v>
      </c>
      <c r="Y56" s="45" t="s">
        <v>309</v>
      </c>
      <c r="Z56" s="45"/>
      <c r="AA56" s="45"/>
      <c r="AB56" s="45"/>
      <c r="AC56" s="45"/>
      <c r="AD56" s="45"/>
      <c r="AE56" s="45"/>
      <c r="AF56" s="45"/>
      <c r="AG56" s="45"/>
      <c r="AH56" s="45"/>
      <c r="AI56" s="45"/>
      <c r="AJ56" s="45"/>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row>
    <row r="57" spans="2:73" ht="15.75" thickBot="1">
      <c r="B57" s="431"/>
      <c r="C57" s="432"/>
      <c r="D57" s="432"/>
      <c r="E57" s="432"/>
      <c r="F57" s="432"/>
      <c r="G57" s="432"/>
      <c r="H57" s="474"/>
      <c r="I57" s="1050"/>
      <c r="J57" s="1051"/>
      <c r="K57" s="1051"/>
      <c r="L57" s="1051"/>
      <c r="M57" s="1051"/>
      <c r="N57" s="1051"/>
      <c r="O57" s="1051"/>
      <c r="P57" s="1052"/>
      <c r="Q57" s="1052"/>
      <c r="R57" s="1052"/>
      <c r="S57" s="1052"/>
      <c r="T57" s="1052"/>
      <c r="U57" s="1052"/>
      <c r="V57" s="1052"/>
      <c r="W57" s="1052"/>
      <c r="X57" s="424"/>
    </row>
    <row r="58" spans="2:73" ht="15.75" thickBot="1">
      <c r="B58" s="433" t="s">
        <v>251</v>
      </c>
      <c r="C58" s="376"/>
      <c r="D58" s="376"/>
      <c r="E58" s="376"/>
      <c r="F58" s="376"/>
      <c r="G58" s="376"/>
      <c r="H58" s="475">
        <v>30000</v>
      </c>
      <c r="I58" s="1053">
        <f>ROUND(SUM(J58:X58),0)</f>
        <v>44618</v>
      </c>
      <c r="J58" s="1054">
        <f>+J16-J36</f>
        <v>86908</v>
      </c>
      <c r="K58" s="1054">
        <f>+K16-K36</f>
        <v>-124753</v>
      </c>
      <c r="L58" s="1054">
        <f t="shared" ref="L58:X58" si="15">+L16-L36</f>
        <v>-141686</v>
      </c>
      <c r="M58" s="1054">
        <f t="shared" si="15"/>
        <v>-133182</v>
      </c>
      <c r="N58" s="1054">
        <f t="shared" si="15"/>
        <v>-252206</v>
      </c>
      <c r="O58" s="1054">
        <f t="shared" si="15"/>
        <v>-14981</v>
      </c>
      <c r="P58" s="1054">
        <f t="shared" si="15"/>
        <v>317945</v>
      </c>
      <c r="Q58" s="1054">
        <f t="shared" si="15"/>
        <v>211102</v>
      </c>
      <c r="R58" s="1054">
        <f t="shared" si="15"/>
        <v>282928</v>
      </c>
      <c r="S58" s="1054">
        <f t="shared" si="15"/>
        <v>-315346</v>
      </c>
      <c r="T58" s="1054">
        <f t="shared" si="15"/>
        <v>127889</v>
      </c>
      <c r="U58" s="1054">
        <f t="shared" si="15"/>
        <v>0</v>
      </c>
      <c r="V58" s="1054">
        <f t="shared" si="15"/>
        <v>0</v>
      </c>
      <c r="W58" s="1054">
        <f t="shared" si="15"/>
        <v>0</v>
      </c>
      <c r="X58" s="1054">
        <f t="shared" si="15"/>
        <v>0</v>
      </c>
    </row>
    <row r="59" spans="2:73" ht="15.75" thickBot="1">
      <c r="B59" s="434"/>
      <c r="C59" s="432"/>
      <c r="D59" s="432"/>
      <c r="E59" s="432"/>
      <c r="F59" s="432"/>
      <c r="G59" s="432"/>
      <c r="H59" s="435"/>
      <c r="I59" s="1055"/>
      <c r="J59" s="1056"/>
      <c r="K59" s="1056"/>
      <c r="L59" s="1056"/>
      <c r="M59" s="1056"/>
      <c r="N59" s="1056"/>
      <c r="O59" s="1056"/>
      <c r="P59" s="1057"/>
      <c r="Q59" s="1057"/>
      <c r="R59" s="1057"/>
      <c r="S59" s="1057"/>
      <c r="T59" s="1057"/>
      <c r="U59" s="1057"/>
      <c r="V59" s="1057"/>
      <c r="W59" s="1057"/>
      <c r="X59" s="1058"/>
    </row>
    <row r="60" spans="2:73" s="19" customFormat="1">
      <c r="B60" s="436" t="s">
        <v>176</v>
      </c>
      <c r="C60" s="437" t="s">
        <v>177</v>
      </c>
      <c r="D60" s="438"/>
      <c r="E60" s="438"/>
      <c r="F60" s="438"/>
      <c r="G60" s="438"/>
      <c r="H60" s="399"/>
      <c r="I60" s="1059"/>
      <c r="J60" s="1060"/>
      <c r="K60" s="1061"/>
      <c r="L60" s="1060"/>
      <c r="M60" s="1062"/>
      <c r="N60" s="1060"/>
      <c r="O60" s="1062"/>
      <c r="P60" s="1061"/>
      <c r="Q60" s="1060"/>
      <c r="R60" s="1060"/>
      <c r="S60" s="1060"/>
      <c r="T60" s="1060"/>
      <c r="U60" s="1060"/>
      <c r="V60" s="1060"/>
      <c r="W60" s="1060"/>
      <c r="X60" s="1060"/>
      <c r="Y60" s="47"/>
      <c r="Z60" s="47"/>
      <c r="AA60" s="47"/>
      <c r="AB60" s="47"/>
      <c r="AC60" s="47"/>
      <c r="AD60" s="47"/>
      <c r="AE60" s="47"/>
      <c r="AF60" s="47"/>
      <c r="AG60" s="47"/>
      <c r="AH60" s="47"/>
      <c r="AI60" s="47"/>
      <c r="AJ60" s="47"/>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row>
    <row r="61" spans="2:73">
      <c r="B61" s="846" t="s">
        <v>65</v>
      </c>
      <c r="C61" s="847" t="s">
        <v>181</v>
      </c>
      <c r="D61" s="848"/>
      <c r="E61" s="847"/>
      <c r="F61" s="847"/>
      <c r="G61" s="847"/>
      <c r="H61" s="849">
        <v>40000</v>
      </c>
      <c r="I61" s="977">
        <f>ROUND(SUM(J61:X61),0)</f>
        <v>120000</v>
      </c>
      <c r="J61" s="1063">
        <f>+J62+J68+J65</f>
        <v>120000</v>
      </c>
      <c r="K61" s="1064">
        <f t="shared" ref="K61:X61" si="16">+K62+K68</f>
        <v>0</v>
      </c>
      <c r="L61" s="1063">
        <f t="shared" si="16"/>
        <v>0</v>
      </c>
      <c r="M61" s="1063">
        <f t="shared" si="16"/>
        <v>0</v>
      </c>
      <c r="N61" s="1063">
        <f t="shared" si="16"/>
        <v>0</v>
      </c>
      <c r="O61" s="1063">
        <f t="shared" si="16"/>
        <v>0</v>
      </c>
      <c r="P61" s="1065">
        <f t="shared" si="16"/>
        <v>0</v>
      </c>
      <c r="Q61" s="1065">
        <f t="shared" si="16"/>
        <v>0</v>
      </c>
      <c r="R61" s="1065">
        <f t="shared" si="16"/>
        <v>0</v>
      </c>
      <c r="S61" s="1065">
        <f t="shared" si="16"/>
        <v>0</v>
      </c>
      <c r="T61" s="1065">
        <f t="shared" si="16"/>
        <v>0</v>
      </c>
      <c r="U61" s="1065">
        <f t="shared" si="16"/>
        <v>0</v>
      </c>
      <c r="V61" s="1065">
        <f t="shared" si="16"/>
        <v>0</v>
      </c>
      <c r="W61" s="1065">
        <f t="shared" si="16"/>
        <v>0</v>
      </c>
      <c r="X61" s="1065">
        <f t="shared" si="16"/>
        <v>0</v>
      </c>
    </row>
    <row r="62" spans="2:73">
      <c r="B62" s="850"/>
      <c r="C62" s="851" t="s">
        <v>66</v>
      </c>
      <c r="D62" s="848" t="s">
        <v>182</v>
      </c>
      <c r="E62" s="848"/>
      <c r="F62" s="848"/>
      <c r="G62" s="848"/>
      <c r="H62" s="849">
        <v>40100</v>
      </c>
      <c r="I62" s="1066">
        <f t="shared" ref="I62:I68" si="17">ROUND(SUM(J62:X62),0)</f>
        <v>120000</v>
      </c>
      <c r="J62" s="1042">
        <f>+J63+J64+J67</f>
        <v>120000</v>
      </c>
      <c r="K62" s="1044">
        <f>+K63+K64+K67</f>
        <v>0</v>
      </c>
      <c r="L62" s="1042">
        <f t="shared" ref="L62:X62" si="18">+L63+L64+L67</f>
        <v>0</v>
      </c>
      <c r="M62" s="1042">
        <f t="shared" si="18"/>
        <v>0</v>
      </c>
      <c r="N62" s="1042">
        <f t="shared" si="18"/>
        <v>0</v>
      </c>
      <c r="O62" s="1042">
        <f t="shared" si="18"/>
        <v>0</v>
      </c>
      <c r="P62" s="1042">
        <f t="shared" si="18"/>
        <v>0</v>
      </c>
      <c r="Q62" s="1042">
        <f t="shared" si="18"/>
        <v>0</v>
      </c>
      <c r="R62" s="1042">
        <f t="shared" si="18"/>
        <v>0</v>
      </c>
      <c r="S62" s="1042">
        <f t="shared" si="18"/>
        <v>0</v>
      </c>
      <c r="T62" s="1042">
        <f t="shared" si="18"/>
        <v>0</v>
      </c>
      <c r="U62" s="1042">
        <f t="shared" si="18"/>
        <v>0</v>
      </c>
      <c r="V62" s="1042">
        <f t="shared" si="18"/>
        <v>0</v>
      </c>
      <c r="W62" s="1042">
        <f t="shared" si="18"/>
        <v>0</v>
      </c>
      <c r="X62" s="1042">
        <f t="shared" si="18"/>
        <v>0</v>
      </c>
    </row>
    <row r="63" spans="2:73" s="20" customFormat="1">
      <c r="B63" s="852"/>
      <c r="C63" s="853"/>
      <c r="D63" s="853" t="s">
        <v>84</v>
      </c>
      <c r="E63" s="854" t="s">
        <v>184</v>
      </c>
      <c r="F63" s="854"/>
      <c r="G63" s="854"/>
      <c r="H63" s="855">
        <v>40110</v>
      </c>
      <c r="I63" s="1067">
        <f t="shared" si="17"/>
        <v>120000</v>
      </c>
      <c r="J63" s="1068">
        <f>20000+60000+40000</f>
        <v>120000</v>
      </c>
      <c r="K63" s="1069"/>
      <c r="L63" s="1070"/>
      <c r="M63" s="1070"/>
      <c r="N63" s="1070"/>
      <c r="O63" s="1070"/>
      <c r="P63" s="1070"/>
      <c r="Q63" s="1070"/>
      <c r="R63" s="1070"/>
      <c r="S63" s="1070"/>
      <c r="T63" s="1070"/>
      <c r="U63" s="1070"/>
      <c r="V63" s="1070"/>
      <c r="W63" s="1070"/>
      <c r="X63" s="1068"/>
      <c r="Y63" s="49"/>
      <c r="Z63" s="49"/>
      <c r="AA63" s="49"/>
      <c r="AB63" s="49"/>
      <c r="AC63" s="49"/>
      <c r="AD63" s="49"/>
      <c r="AE63" s="49"/>
      <c r="AF63" s="49"/>
      <c r="AG63" s="49"/>
      <c r="AH63" s="49"/>
      <c r="AI63" s="49"/>
      <c r="AJ63" s="49"/>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row>
    <row r="64" spans="2:73" s="20" customFormat="1">
      <c r="B64" s="852"/>
      <c r="C64" s="853"/>
      <c r="D64" s="853" t="s">
        <v>100</v>
      </c>
      <c r="E64" s="854" t="s">
        <v>188</v>
      </c>
      <c r="F64" s="854"/>
      <c r="G64" s="854"/>
      <c r="H64" s="855">
        <v>40120</v>
      </c>
      <c r="I64" s="1067">
        <f t="shared" si="17"/>
        <v>0</v>
      </c>
      <c r="J64" s="1071"/>
      <c r="K64" s="1072">
        <f t="shared" ref="K64:X64" si="19">+K65+K66</f>
        <v>0</v>
      </c>
      <c r="L64" s="1007">
        <f t="shared" si="19"/>
        <v>0</v>
      </c>
      <c r="M64" s="1007">
        <f t="shared" si="19"/>
        <v>0</v>
      </c>
      <c r="N64" s="1007">
        <f t="shared" si="19"/>
        <v>0</v>
      </c>
      <c r="O64" s="1007">
        <f t="shared" si="19"/>
        <v>0</v>
      </c>
      <c r="P64" s="1007">
        <f t="shared" si="19"/>
        <v>0</v>
      </c>
      <c r="Q64" s="1007">
        <f t="shared" si="19"/>
        <v>0</v>
      </c>
      <c r="R64" s="1007">
        <f t="shared" si="19"/>
        <v>0</v>
      </c>
      <c r="S64" s="1007">
        <f t="shared" si="19"/>
        <v>0</v>
      </c>
      <c r="T64" s="1007">
        <f t="shared" si="19"/>
        <v>0</v>
      </c>
      <c r="U64" s="1007">
        <f t="shared" si="19"/>
        <v>0</v>
      </c>
      <c r="V64" s="1007">
        <f t="shared" si="19"/>
        <v>0</v>
      </c>
      <c r="W64" s="1007">
        <f t="shared" si="19"/>
        <v>0</v>
      </c>
      <c r="X64" s="1007">
        <f t="shared" si="19"/>
        <v>0</v>
      </c>
      <c r="Y64" s="49"/>
      <c r="Z64" s="49"/>
      <c r="AA64" s="49"/>
      <c r="AB64" s="49"/>
      <c r="AC64" s="49"/>
      <c r="AD64" s="49"/>
      <c r="AE64" s="49"/>
      <c r="AF64" s="49"/>
      <c r="AG64" s="49"/>
      <c r="AH64" s="49"/>
      <c r="AI64" s="49"/>
      <c r="AJ64" s="49"/>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row>
    <row r="65" spans="2:73" s="20" customFormat="1">
      <c r="B65" s="852"/>
      <c r="C65" s="853"/>
      <c r="D65" s="853"/>
      <c r="E65" s="854" t="s">
        <v>87</v>
      </c>
      <c r="F65" s="854" t="s">
        <v>191</v>
      </c>
      <c r="G65" s="854"/>
      <c r="H65" s="855">
        <v>40121</v>
      </c>
      <c r="I65" s="1067">
        <f>ROUND(SUM(J65:X65),0)</f>
        <v>0</v>
      </c>
      <c r="J65" s="1073"/>
      <c r="K65" s="1074"/>
      <c r="L65" s="1075"/>
      <c r="M65" s="1075"/>
      <c r="N65" s="1075"/>
      <c r="O65" s="1075"/>
      <c r="P65" s="1075"/>
      <c r="Q65" s="1075"/>
      <c r="R65" s="1075"/>
      <c r="S65" s="1075"/>
      <c r="T65" s="1075"/>
      <c r="U65" s="1075"/>
      <c r="V65" s="1075"/>
      <c r="W65" s="1075"/>
      <c r="X65" s="1076"/>
      <c r="Y65" s="49">
        <v>9022</v>
      </c>
      <c r="Z65" s="49"/>
      <c r="AA65" s="49"/>
      <c r="AB65" s="49"/>
      <c r="AC65" s="49"/>
      <c r="AD65" s="49"/>
      <c r="AE65" s="49"/>
      <c r="AF65" s="49"/>
      <c r="AG65" s="49"/>
      <c r="AH65" s="49"/>
      <c r="AI65" s="49"/>
      <c r="AJ65" s="49"/>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c r="BS65" s="50"/>
      <c r="BT65" s="50"/>
      <c r="BU65" s="50"/>
    </row>
    <row r="66" spans="2:73" s="20" customFormat="1">
      <c r="B66" s="852"/>
      <c r="C66" s="853"/>
      <c r="D66" s="853"/>
      <c r="E66" s="854" t="s">
        <v>90</v>
      </c>
      <c r="F66" s="854" t="s">
        <v>193</v>
      </c>
      <c r="G66" s="854"/>
      <c r="H66" s="855">
        <v>40122</v>
      </c>
      <c r="I66" s="1067">
        <f t="shared" si="17"/>
        <v>0</v>
      </c>
      <c r="J66" s="843"/>
      <c r="K66" s="1069"/>
      <c r="L66" s="1070"/>
      <c r="M66" s="1070"/>
      <c r="N66" s="1070"/>
      <c r="O66" s="1070"/>
      <c r="P66" s="1070"/>
      <c r="Q66" s="1070"/>
      <c r="R66" s="1070"/>
      <c r="S66" s="1070"/>
      <c r="T66" s="1070"/>
      <c r="U66" s="1070"/>
      <c r="V66" s="1070"/>
      <c r="W66" s="1070"/>
      <c r="X66" s="1068"/>
      <c r="Y66" s="49"/>
      <c r="Z66" s="49"/>
      <c r="AA66" s="49"/>
      <c r="AB66" s="49"/>
      <c r="AC66" s="49"/>
      <c r="AD66" s="49"/>
      <c r="AE66" s="49"/>
      <c r="AF66" s="49"/>
      <c r="AG66" s="49"/>
      <c r="AH66" s="49"/>
      <c r="AI66" s="49"/>
      <c r="AJ66" s="49"/>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c r="BS66" s="50"/>
      <c r="BT66" s="50"/>
      <c r="BU66" s="50"/>
    </row>
    <row r="67" spans="2:73" s="20" customFormat="1">
      <c r="B67" s="852"/>
      <c r="C67" s="853"/>
      <c r="D67" s="853" t="s">
        <v>137</v>
      </c>
      <c r="E67" s="854" t="s">
        <v>101</v>
      </c>
      <c r="F67" s="854"/>
      <c r="G67" s="854"/>
      <c r="H67" s="856">
        <v>40190</v>
      </c>
      <c r="I67" s="1077">
        <f t="shared" si="17"/>
        <v>0</v>
      </c>
      <c r="J67" s="1078"/>
      <c r="K67" s="1033"/>
      <c r="L67" s="1079"/>
      <c r="M67" s="1079"/>
      <c r="N67" s="1079"/>
      <c r="O67" s="1079"/>
      <c r="P67" s="1079"/>
      <c r="Q67" s="1079"/>
      <c r="R67" s="1079"/>
      <c r="S67" s="1079"/>
      <c r="T67" s="1079"/>
      <c r="U67" s="1079"/>
      <c r="V67" s="1079"/>
      <c r="W67" s="1079"/>
      <c r="X67" s="1079"/>
      <c r="Y67" s="49"/>
      <c r="Z67" s="49"/>
      <c r="AA67" s="49"/>
      <c r="AB67" s="49"/>
      <c r="AC67" s="49"/>
      <c r="AD67" s="49"/>
      <c r="AE67" s="49"/>
      <c r="AF67" s="49"/>
      <c r="AG67" s="49"/>
      <c r="AH67" s="49"/>
      <c r="AI67" s="49"/>
      <c r="AJ67" s="49"/>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c r="BS67" s="50"/>
      <c r="BT67" s="50"/>
      <c r="BU67" s="50"/>
    </row>
    <row r="68" spans="2:73" s="20" customFormat="1">
      <c r="B68" s="857"/>
      <c r="C68" s="858" t="s">
        <v>73</v>
      </c>
      <c r="D68" s="859" t="s">
        <v>196</v>
      </c>
      <c r="E68" s="859"/>
      <c r="F68" s="859"/>
      <c r="G68" s="859"/>
      <c r="H68" s="860">
        <v>40200</v>
      </c>
      <c r="I68" s="1080">
        <f t="shared" si="17"/>
        <v>0</v>
      </c>
      <c r="J68" s="843">
        <v>0</v>
      </c>
      <c r="K68" s="1074"/>
      <c r="L68" s="1075"/>
      <c r="M68" s="1075">
        <v>0</v>
      </c>
      <c r="N68" s="1075">
        <v>0</v>
      </c>
      <c r="O68" s="1075">
        <v>0</v>
      </c>
      <c r="P68" s="1075"/>
      <c r="Q68" s="1075"/>
      <c r="R68" s="1075"/>
      <c r="S68" s="1075"/>
      <c r="T68" s="1075"/>
      <c r="U68" s="1075"/>
      <c r="V68" s="1075"/>
      <c r="W68" s="1075"/>
      <c r="X68" s="1076"/>
      <c r="Y68" s="49"/>
      <c r="Z68" s="49"/>
      <c r="AA68" s="49"/>
      <c r="AB68" s="49"/>
      <c r="AC68" s="49"/>
      <c r="AD68" s="49"/>
      <c r="AE68" s="49"/>
      <c r="AF68" s="49"/>
      <c r="AG68" s="49"/>
      <c r="AH68" s="49"/>
      <c r="AI68" s="49"/>
      <c r="AJ68" s="49"/>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row>
    <row r="69" spans="2:73" s="20" customFormat="1">
      <c r="B69" s="852"/>
      <c r="C69" s="853"/>
      <c r="D69" s="853"/>
      <c r="E69" s="854"/>
      <c r="F69" s="854"/>
      <c r="G69" s="854"/>
      <c r="H69" s="861"/>
      <c r="I69" s="1081"/>
      <c r="J69" s="1082"/>
      <c r="K69" s="1083"/>
      <c r="L69" s="1083"/>
      <c r="M69" s="1083"/>
      <c r="N69" s="1083"/>
      <c r="O69" s="1083"/>
      <c r="P69" s="1084"/>
      <c r="Q69" s="1085"/>
      <c r="R69" s="1085"/>
      <c r="S69" s="1085"/>
      <c r="T69" s="1085"/>
      <c r="U69" s="1085"/>
      <c r="V69" s="1085"/>
      <c r="W69" s="1085"/>
      <c r="X69" s="1085"/>
      <c r="Y69" s="49"/>
      <c r="Z69" s="49"/>
      <c r="AA69" s="49"/>
      <c r="AB69" s="49"/>
      <c r="AC69" s="49"/>
      <c r="AD69" s="49"/>
      <c r="AE69" s="49"/>
      <c r="AF69" s="49"/>
      <c r="AG69" s="49"/>
      <c r="AH69" s="49"/>
      <c r="AI69" s="49"/>
      <c r="AJ69" s="49"/>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row>
    <row r="70" spans="2:73" s="20" customFormat="1">
      <c r="B70" s="862" t="s">
        <v>128</v>
      </c>
      <c r="C70" s="863" t="s">
        <v>201</v>
      </c>
      <c r="D70" s="859"/>
      <c r="E70" s="863"/>
      <c r="F70" s="863"/>
      <c r="G70" s="863"/>
      <c r="H70" s="849">
        <v>50000</v>
      </c>
      <c r="I70" s="977">
        <f t="shared" ref="I70:I78" si="20">ROUND(SUM(J70:X70),0)</f>
        <v>0</v>
      </c>
      <c r="J70" s="1064">
        <f>+J71+J78+J75</f>
        <v>0</v>
      </c>
      <c r="K70" s="1063">
        <f t="shared" ref="K70:X70" si="21">+K71+K78</f>
        <v>0</v>
      </c>
      <c r="L70" s="1063">
        <f t="shared" si="21"/>
        <v>0</v>
      </c>
      <c r="M70" s="1063">
        <f t="shared" si="21"/>
        <v>0</v>
      </c>
      <c r="N70" s="1063">
        <f t="shared" si="21"/>
        <v>0</v>
      </c>
      <c r="O70" s="1063">
        <f t="shared" si="21"/>
        <v>0</v>
      </c>
      <c r="P70" s="1063">
        <f t="shared" si="21"/>
        <v>0</v>
      </c>
      <c r="Q70" s="1063">
        <f t="shared" si="21"/>
        <v>0</v>
      </c>
      <c r="R70" s="1063">
        <f t="shared" si="21"/>
        <v>0</v>
      </c>
      <c r="S70" s="1063">
        <f t="shared" si="21"/>
        <v>0</v>
      </c>
      <c r="T70" s="1063">
        <f t="shared" si="21"/>
        <v>0</v>
      </c>
      <c r="U70" s="1063">
        <f t="shared" si="21"/>
        <v>0</v>
      </c>
      <c r="V70" s="1063">
        <f t="shared" si="21"/>
        <v>0</v>
      </c>
      <c r="W70" s="1063">
        <f t="shared" si="21"/>
        <v>0</v>
      </c>
      <c r="X70" s="1063">
        <f t="shared" si="21"/>
        <v>0</v>
      </c>
      <c r="Y70" s="49"/>
      <c r="Z70" s="49"/>
      <c r="AA70" s="49"/>
      <c r="AB70" s="49"/>
      <c r="AC70" s="49"/>
      <c r="AD70" s="49"/>
      <c r="AE70" s="49"/>
      <c r="AF70" s="49"/>
      <c r="AG70" s="49"/>
      <c r="AH70" s="49"/>
      <c r="AI70" s="49"/>
      <c r="AJ70" s="49"/>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c r="BS70" s="50"/>
      <c r="BT70" s="50"/>
      <c r="BU70" s="50"/>
    </row>
    <row r="71" spans="2:73" s="20" customFormat="1">
      <c r="B71" s="857"/>
      <c r="C71" s="858" t="s">
        <v>66</v>
      </c>
      <c r="D71" s="859" t="s">
        <v>182</v>
      </c>
      <c r="E71" s="859"/>
      <c r="F71" s="859"/>
      <c r="G71" s="859"/>
      <c r="H71" s="849">
        <v>50100</v>
      </c>
      <c r="I71" s="1066">
        <f t="shared" si="20"/>
        <v>0</v>
      </c>
      <c r="J71" s="1044">
        <f>+J72+J73+J74+J77</f>
        <v>0</v>
      </c>
      <c r="K71" s="1042">
        <f t="shared" ref="K71:X71" si="22">+K72+K73+K74+K77</f>
        <v>0</v>
      </c>
      <c r="L71" s="1042">
        <f t="shared" si="22"/>
        <v>0</v>
      </c>
      <c r="M71" s="1042">
        <f t="shared" si="22"/>
        <v>0</v>
      </c>
      <c r="N71" s="1042">
        <f t="shared" si="22"/>
        <v>0</v>
      </c>
      <c r="O71" s="1042">
        <f t="shared" si="22"/>
        <v>0</v>
      </c>
      <c r="P71" s="1042">
        <f t="shared" si="22"/>
        <v>0</v>
      </c>
      <c r="Q71" s="1042">
        <f t="shared" si="22"/>
        <v>0</v>
      </c>
      <c r="R71" s="1042">
        <f t="shared" si="22"/>
        <v>0</v>
      </c>
      <c r="S71" s="1042">
        <f t="shared" si="22"/>
        <v>0</v>
      </c>
      <c r="T71" s="1042">
        <f t="shared" si="22"/>
        <v>0</v>
      </c>
      <c r="U71" s="1042">
        <f t="shared" si="22"/>
        <v>0</v>
      </c>
      <c r="V71" s="1042">
        <f t="shared" si="22"/>
        <v>0</v>
      </c>
      <c r="W71" s="1042">
        <f t="shared" si="22"/>
        <v>0</v>
      </c>
      <c r="X71" s="1042">
        <f t="shared" si="22"/>
        <v>0</v>
      </c>
      <c r="Y71" s="49"/>
      <c r="Z71" s="49"/>
      <c r="AA71" s="49"/>
      <c r="AB71" s="49"/>
      <c r="AC71" s="49"/>
      <c r="AD71" s="49"/>
      <c r="AE71" s="49"/>
      <c r="AF71" s="49"/>
      <c r="AG71" s="49"/>
      <c r="AH71" s="49"/>
      <c r="AI71" s="49"/>
      <c r="AJ71" s="49"/>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c r="BS71" s="50"/>
      <c r="BT71" s="50"/>
      <c r="BU71" s="50"/>
    </row>
    <row r="72" spans="2:73" s="20" customFormat="1">
      <c r="B72" s="852"/>
      <c r="C72" s="854"/>
      <c r="D72" s="853" t="s">
        <v>84</v>
      </c>
      <c r="E72" s="854" t="s">
        <v>202</v>
      </c>
      <c r="F72" s="854"/>
      <c r="G72" s="854"/>
      <c r="H72" s="855">
        <v>50110</v>
      </c>
      <c r="I72" s="1086">
        <f t="shared" si="20"/>
        <v>0</v>
      </c>
      <c r="J72" s="1087"/>
      <c r="K72" s="1070"/>
      <c r="L72" s="1070"/>
      <c r="M72" s="1070"/>
      <c r="N72" s="1070"/>
      <c r="O72" s="1070"/>
      <c r="P72" s="1070"/>
      <c r="Q72" s="1070"/>
      <c r="R72" s="1070"/>
      <c r="S72" s="1070"/>
      <c r="T72" s="1070"/>
      <c r="U72" s="1070"/>
      <c r="V72" s="1070"/>
      <c r="W72" s="1070"/>
      <c r="X72" s="1068"/>
      <c r="Y72" s="49"/>
      <c r="Z72" s="49"/>
      <c r="AA72" s="49"/>
      <c r="AB72" s="49"/>
      <c r="AC72" s="49"/>
      <c r="AD72" s="49"/>
      <c r="AE72" s="49"/>
      <c r="AF72" s="49"/>
      <c r="AG72" s="49"/>
      <c r="AH72" s="49"/>
      <c r="AI72" s="49"/>
      <c r="AJ72" s="49"/>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c r="BS72" s="50"/>
      <c r="BT72" s="50"/>
      <c r="BU72" s="50"/>
    </row>
    <row r="73" spans="2:73" s="20" customFormat="1">
      <c r="B73" s="852"/>
      <c r="C73" s="854"/>
      <c r="D73" s="853" t="s">
        <v>100</v>
      </c>
      <c r="E73" s="854" t="s">
        <v>252</v>
      </c>
      <c r="F73" s="854"/>
      <c r="G73" s="854"/>
      <c r="H73" s="855">
        <v>50120</v>
      </c>
      <c r="I73" s="1086">
        <f t="shared" si="20"/>
        <v>0</v>
      </c>
      <c r="J73" s="1087"/>
      <c r="K73" s="1070"/>
      <c r="L73" s="1070">
        <v>0</v>
      </c>
      <c r="M73" s="1070"/>
      <c r="N73" s="1070"/>
      <c r="O73" s="1070"/>
      <c r="P73" s="1070"/>
      <c r="Q73" s="1070"/>
      <c r="R73" s="1070"/>
      <c r="S73" s="1070"/>
      <c r="T73" s="1070"/>
      <c r="U73" s="1070"/>
      <c r="V73" s="1070"/>
      <c r="W73" s="1070"/>
      <c r="X73" s="1068"/>
      <c r="Y73" s="49" t="s">
        <v>310</v>
      </c>
      <c r="Z73" s="49"/>
      <c r="AA73" s="49"/>
      <c r="AB73" s="49"/>
      <c r="AC73" s="49"/>
      <c r="AD73" s="49"/>
      <c r="AE73" s="49"/>
      <c r="AF73" s="49"/>
      <c r="AG73" s="49"/>
      <c r="AH73" s="49"/>
      <c r="AI73" s="49"/>
      <c r="AJ73" s="49"/>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row>
    <row r="74" spans="2:73" s="20" customFormat="1">
      <c r="B74" s="852"/>
      <c r="C74" s="854"/>
      <c r="D74" s="853" t="s">
        <v>137</v>
      </c>
      <c r="E74" s="854" t="s">
        <v>208</v>
      </c>
      <c r="F74" s="854"/>
      <c r="G74" s="854"/>
      <c r="H74" s="855">
        <v>50130</v>
      </c>
      <c r="I74" s="1086">
        <f t="shared" si="20"/>
        <v>0</v>
      </c>
      <c r="J74" s="1088"/>
      <c r="K74" s="1007">
        <f t="shared" ref="K74:X74" si="23">+K75+K76</f>
        <v>0</v>
      </c>
      <c r="L74" s="1007">
        <f t="shared" si="23"/>
        <v>0</v>
      </c>
      <c r="M74" s="1007">
        <f t="shared" si="23"/>
        <v>0</v>
      </c>
      <c r="N74" s="1007">
        <f t="shared" si="23"/>
        <v>0</v>
      </c>
      <c r="O74" s="1007">
        <f t="shared" si="23"/>
        <v>0</v>
      </c>
      <c r="P74" s="1089">
        <f t="shared" si="23"/>
        <v>0</v>
      </c>
      <c r="Q74" s="1089">
        <f t="shared" si="23"/>
        <v>0</v>
      </c>
      <c r="R74" s="1089">
        <f t="shared" si="23"/>
        <v>0</v>
      </c>
      <c r="S74" s="1089">
        <f t="shared" si="23"/>
        <v>0</v>
      </c>
      <c r="T74" s="1089">
        <f t="shared" si="23"/>
        <v>0</v>
      </c>
      <c r="U74" s="1089">
        <f t="shared" si="23"/>
        <v>0</v>
      </c>
      <c r="V74" s="1089">
        <f t="shared" si="23"/>
        <v>0</v>
      </c>
      <c r="W74" s="1089">
        <f t="shared" si="23"/>
        <v>0</v>
      </c>
      <c r="X74" s="1089">
        <f t="shared" si="23"/>
        <v>0</v>
      </c>
      <c r="Y74" s="49"/>
      <c r="Z74" s="49"/>
      <c r="AA74" s="49"/>
      <c r="AB74" s="49"/>
      <c r="AC74" s="49"/>
      <c r="AD74" s="49"/>
      <c r="AE74" s="49"/>
      <c r="AF74" s="49"/>
      <c r="AG74" s="49"/>
      <c r="AH74" s="49"/>
      <c r="AI74" s="49"/>
      <c r="AJ74" s="49"/>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row>
    <row r="75" spans="2:73" s="20" customFormat="1">
      <c r="B75" s="852"/>
      <c r="C75" s="853"/>
      <c r="D75" s="853"/>
      <c r="E75" s="853" t="s">
        <v>87</v>
      </c>
      <c r="F75" s="854" t="s">
        <v>191</v>
      </c>
      <c r="G75" s="854"/>
      <c r="H75" s="855">
        <v>50131</v>
      </c>
      <c r="I75" s="1086">
        <f t="shared" si="20"/>
        <v>0</v>
      </c>
      <c r="J75" s="1090"/>
      <c r="K75" s="1075"/>
      <c r="L75" s="1075"/>
      <c r="M75" s="1075"/>
      <c r="N75" s="1075"/>
      <c r="O75" s="1075"/>
      <c r="P75" s="1075"/>
      <c r="Q75" s="1075"/>
      <c r="R75" s="1075"/>
      <c r="S75" s="1075"/>
      <c r="T75" s="1075"/>
      <c r="U75" s="1075"/>
      <c r="V75" s="1075"/>
      <c r="W75" s="1075"/>
      <c r="X75" s="1076"/>
      <c r="Y75" s="49" t="s">
        <v>311</v>
      </c>
      <c r="Z75" s="49"/>
      <c r="AA75" s="49"/>
      <c r="AB75" s="49"/>
      <c r="AC75" s="49"/>
      <c r="AD75" s="49"/>
      <c r="AE75" s="49"/>
      <c r="AF75" s="49"/>
      <c r="AG75" s="49"/>
      <c r="AH75" s="49"/>
      <c r="AI75" s="49"/>
      <c r="AJ75" s="49"/>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row>
    <row r="76" spans="2:73" s="20" customFormat="1">
      <c r="B76" s="852"/>
      <c r="C76" s="853"/>
      <c r="D76" s="853"/>
      <c r="E76" s="853" t="s">
        <v>90</v>
      </c>
      <c r="F76" s="854" t="s">
        <v>193</v>
      </c>
      <c r="G76" s="854"/>
      <c r="H76" s="855">
        <v>50132</v>
      </c>
      <c r="I76" s="1086">
        <f t="shared" si="20"/>
        <v>0</v>
      </c>
      <c r="J76" s="864"/>
      <c r="K76" s="1070"/>
      <c r="L76" s="1070"/>
      <c r="M76" s="1070"/>
      <c r="N76" s="1070"/>
      <c r="O76" s="1070"/>
      <c r="P76" s="1070"/>
      <c r="Q76" s="1070"/>
      <c r="R76" s="1070"/>
      <c r="S76" s="1070"/>
      <c r="T76" s="1070"/>
      <c r="U76" s="1070"/>
      <c r="V76" s="1070"/>
      <c r="W76" s="1070"/>
      <c r="X76" s="1068"/>
      <c r="Y76" s="49"/>
      <c r="Z76" s="49"/>
      <c r="AA76" s="49"/>
      <c r="AB76" s="49"/>
      <c r="AC76" s="49"/>
      <c r="AD76" s="49"/>
      <c r="AE76" s="49"/>
      <c r="AF76" s="49"/>
      <c r="AG76" s="49"/>
      <c r="AH76" s="49"/>
      <c r="AI76" s="49"/>
      <c r="AJ76" s="49"/>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row>
    <row r="77" spans="2:73" s="20" customFormat="1">
      <c r="B77" s="852"/>
      <c r="C77" s="854"/>
      <c r="D77" s="853" t="s">
        <v>210</v>
      </c>
      <c r="E77" s="854" t="s">
        <v>101</v>
      </c>
      <c r="F77" s="854"/>
      <c r="G77" s="854"/>
      <c r="H77" s="855">
        <v>50190</v>
      </c>
      <c r="I77" s="1086">
        <f t="shared" si="20"/>
        <v>0</v>
      </c>
      <c r="J77" s="1091"/>
      <c r="K77" s="1079"/>
      <c r="L77" s="1079"/>
      <c r="M77" s="1079"/>
      <c r="N77" s="1079"/>
      <c r="O77" s="1079"/>
      <c r="P77" s="1079"/>
      <c r="Q77" s="1079"/>
      <c r="R77" s="1079"/>
      <c r="S77" s="1079"/>
      <c r="T77" s="1079"/>
      <c r="U77" s="1079"/>
      <c r="V77" s="1079"/>
      <c r="W77" s="1079"/>
      <c r="X77" s="1079"/>
      <c r="Y77" s="49"/>
      <c r="Z77" s="49"/>
      <c r="AA77" s="49"/>
      <c r="AB77" s="49"/>
      <c r="AC77" s="49"/>
      <c r="AD77" s="49"/>
      <c r="AE77" s="49"/>
      <c r="AF77" s="49"/>
      <c r="AG77" s="49"/>
      <c r="AH77" s="49"/>
      <c r="AI77" s="49"/>
      <c r="AJ77" s="49"/>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c r="BS77" s="50"/>
      <c r="BT77" s="50"/>
      <c r="BU77" s="50"/>
    </row>
    <row r="78" spans="2:73" s="20" customFormat="1" ht="15.75" thickBot="1">
      <c r="B78" s="857"/>
      <c r="C78" s="858" t="s">
        <v>73</v>
      </c>
      <c r="D78" s="859" t="s">
        <v>212</v>
      </c>
      <c r="E78" s="859"/>
      <c r="F78" s="859"/>
      <c r="G78" s="859"/>
      <c r="H78" s="849">
        <v>50200</v>
      </c>
      <c r="I78" s="1092">
        <f t="shared" si="20"/>
        <v>0</v>
      </c>
      <c r="J78" s="382">
        <v>0</v>
      </c>
      <c r="K78" s="1079"/>
      <c r="L78" s="1079"/>
      <c r="M78" s="1079">
        <v>0</v>
      </c>
      <c r="N78" s="1079">
        <v>0</v>
      </c>
      <c r="O78" s="1079">
        <v>0</v>
      </c>
      <c r="P78" s="1079"/>
      <c r="Q78" s="1079"/>
      <c r="R78" s="1079"/>
      <c r="S78" s="1079"/>
      <c r="T78" s="1079"/>
      <c r="U78" s="1079"/>
      <c r="V78" s="1079"/>
      <c r="W78" s="1079"/>
      <c r="X78" s="1093"/>
      <c r="Y78" s="49" t="s">
        <v>312</v>
      </c>
      <c r="Z78" s="49"/>
      <c r="AA78" s="49"/>
      <c r="AB78" s="49"/>
      <c r="AC78" s="49"/>
      <c r="AD78" s="49"/>
      <c r="AE78" s="49"/>
      <c r="AF78" s="49"/>
      <c r="AG78" s="49"/>
      <c r="AH78" s="49"/>
      <c r="AI78" s="49"/>
      <c r="AJ78" s="49"/>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row>
    <row r="79" spans="2:73" ht="9" customHeight="1" thickBot="1">
      <c r="B79" s="865"/>
      <c r="C79" s="866"/>
      <c r="D79" s="866"/>
      <c r="E79" s="866"/>
      <c r="F79" s="866"/>
      <c r="G79" s="866"/>
      <c r="H79" s="867"/>
      <c r="I79" s="1094"/>
      <c r="J79" s="1095"/>
      <c r="K79" s="1095"/>
      <c r="L79" s="1095"/>
      <c r="M79" s="1095"/>
      <c r="N79" s="1095"/>
      <c r="O79" s="1095"/>
      <c r="P79" s="1096"/>
      <c r="Q79" s="1096"/>
      <c r="R79" s="1096"/>
      <c r="S79" s="1096"/>
      <c r="T79" s="1096"/>
      <c r="U79" s="1096"/>
      <c r="V79" s="1096"/>
      <c r="W79" s="1096"/>
      <c r="X79" s="1096"/>
    </row>
    <row r="80" spans="2:73" ht="15.75" thickBot="1">
      <c r="B80" s="433" t="s">
        <v>253</v>
      </c>
      <c r="C80" s="376"/>
      <c r="D80" s="376"/>
      <c r="E80" s="376"/>
      <c r="F80" s="376"/>
      <c r="G80" s="376"/>
      <c r="H80" s="439">
        <v>60000</v>
      </c>
      <c r="I80" s="1053">
        <f>ROUND(SUM(J80:X80),0)</f>
        <v>120000</v>
      </c>
      <c r="J80" s="1054">
        <f>+J61-J70</f>
        <v>120000</v>
      </c>
      <c r="K80" s="1054">
        <f t="shared" ref="K80:X80" si="24">+K61-K70</f>
        <v>0</v>
      </c>
      <c r="L80" s="1054">
        <f t="shared" si="24"/>
        <v>0</v>
      </c>
      <c r="M80" s="1097">
        <f t="shared" si="24"/>
        <v>0</v>
      </c>
      <c r="N80" s="1054">
        <f t="shared" si="24"/>
        <v>0</v>
      </c>
      <c r="O80" s="1097">
        <f t="shared" si="24"/>
        <v>0</v>
      </c>
      <c r="P80" s="1098">
        <f t="shared" si="24"/>
        <v>0</v>
      </c>
      <c r="Q80" s="1098">
        <f t="shared" si="24"/>
        <v>0</v>
      </c>
      <c r="R80" s="1098">
        <f t="shared" si="24"/>
        <v>0</v>
      </c>
      <c r="S80" s="1098">
        <f t="shared" si="24"/>
        <v>0</v>
      </c>
      <c r="T80" s="1098">
        <f t="shared" si="24"/>
        <v>0</v>
      </c>
      <c r="U80" s="1098">
        <f t="shared" si="24"/>
        <v>0</v>
      </c>
      <c r="V80" s="1098">
        <f t="shared" si="24"/>
        <v>0</v>
      </c>
      <c r="W80" s="1098">
        <f t="shared" si="24"/>
        <v>0</v>
      </c>
      <c r="X80" s="1099">
        <f t="shared" si="24"/>
        <v>0</v>
      </c>
    </row>
    <row r="81" spans="2:73" ht="15.75" thickBot="1">
      <c r="B81" s="432"/>
      <c r="C81" s="440"/>
      <c r="D81" s="440"/>
      <c r="E81" s="432"/>
      <c r="F81" s="432"/>
      <c r="G81" s="432"/>
      <c r="H81" s="435"/>
      <c r="I81" s="1100"/>
      <c r="J81" s="1056"/>
      <c r="K81" s="1056"/>
      <c r="L81" s="1056"/>
      <c r="M81" s="1056"/>
      <c r="N81" s="1056"/>
      <c r="O81" s="1056"/>
      <c r="P81" s="1101"/>
      <c r="Q81" s="1101"/>
      <c r="R81" s="1101"/>
      <c r="S81" s="1101"/>
      <c r="T81" s="1101"/>
      <c r="U81" s="1101"/>
      <c r="V81" s="1101"/>
      <c r="W81" s="1101"/>
      <c r="X81" s="1101"/>
    </row>
    <row r="82" spans="2:73" s="19" customFormat="1" ht="15.75" thickBot="1">
      <c r="B82" s="433" t="s">
        <v>217</v>
      </c>
      <c r="C82" s="376"/>
      <c r="D82" s="376"/>
      <c r="E82" s="376"/>
      <c r="F82" s="376"/>
      <c r="G82" s="376"/>
      <c r="H82" s="439">
        <v>70000</v>
      </c>
      <c r="I82" s="1053">
        <v>0</v>
      </c>
      <c r="J82" s="1054">
        <f t="shared" ref="J82:X82" si="25">+J58+J80</f>
        <v>206908</v>
      </c>
      <c r="K82" s="1054">
        <f>+K58+K80</f>
        <v>-124753</v>
      </c>
      <c r="L82" s="1054">
        <f>+L58+L80</f>
        <v>-141686</v>
      </c>
      <c r="M82" s="1097">
        <f t="shared" si="25"/>
        <v>-133182</v>
      </c>
      <c r="N82" s="1054">
        <f t="shared" si="25"/>
        <v>-252206</v>
      </c>
      <c r="O82" s="1097">
        <f t="shared" si="25"/>
        <v>-14981</v>
      </c>
      <c r="P82" s="1102">
        <f t="shared" si="25"/>
        <v>317945</v>
      </c>
      <c r="Q82" s="1098">
        <f t="shared" si="25"/>
        <v>211102</v>
      </c>
      <c r="R82" s="1102">
        <f t="shared" si="25"/>
        <v>282928</v>
      </c>
      <c r="S82" s="1098">
        <f t="shared" si="25"/>
        <v>-315346</v>
      </c>
      <c r="T82" s="1102">
        <f t="shared" si="25"/>
        <v>127889</v>
      </c>
      <c r="U82" s="1098">
        <f t="shared" si="25"/>
        <v>0</v>
      </c>
      <c r="V82" s="1102">
        <f t="shared" si="25"/>
        <v>0</v>
      </c>
      <c r="W82" s="1102">
        <f t="shared" si="25"/>
        <v>0</v>
      </c>
      <c r="X82" s="1099">
        <f t="shared" si="25"/>
        <v>0</v>
      </c>
      <c r="Y82" s="47"/>
      <c r="Z82" s="47"/>
      <c r="AA82" s="47"/>
      <c r="AB82" s="47"/>
      <c r="AC82" s="47"/>
      <c r="AD82" s="47"/>
      <c r="AE82" s="47"/>
      <c r="AF82" s="47"/>
      <c r="AG82" s="47"/>
      <c r="AH82" s="47"/>
      <c r="AI82" s="47"/>
      <c r="AJ82" s="47"/>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row>
    <row r="83" spans="2:73" s="19" customFormat="1" ht="9.75" customHeight="1" thickBot="1">
      <c r="B83" s="441"/>
      <c r="C83" s="432"/>
      <c r="D83" s="432"/>
      <c r="E83" s="432"/>
      <c r="F83" s="432"/>
      <c r="G83" s="432"/>
      <c r="H83" s="435"/>
      <c r="I83" s="1103"/>
      <c r="J83" s="1104"/>
      <c r="K83" s="1104"/>
      <c r="L83" s="1104"/>
      <c r="M83" s="1104"/>
      <c r="N83" s="1104"/>
      <c r="O83" s="1104"/>
      <c r="P83" s="1105"/>
      <c r="Q83" s="1105"/>
      <c r="R83" s="1105"/>
      <c r="S83" s="1105"/>
      <c r="T83" s="1105"/>
      <c r="U83" s="1105"/>
      <c r="V83" s="1105"/>
      <c r="W83" s="1105"/>
      <c r="X83" s="1105"/>
      <c r="Y83" s="47"/>
      <c r="Z83" s="47"/>
      <c r="AA83" s="47"/>
      <c r="AB83" s="47"/>
      <c r="AC83" s="47"/>
      <c r="AD83" s="47"/>
      <c r="AE83" s="47"/>
      <c r="AF83" s="47"/>
      <c r="AG83" s="47"/>
      <c r="AH83" s="47"/>
      <c r="AI83" s="47"/>
      <c r="AJ83" s="47"/>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row>
    <row r="84" spans="2:73" ht="15.75" thickBot="1">
      <c r="B84" s="433" t="s">
        <v>218</v>
      </c>
      <c r="C84" s="376"/>
      <c r="D84" s="376"/>
      <c r="E84" s="376"/>
      <c r="F84" s="376"/>
      <c r="G84" s="442"/>
      <c r="H84" s="439">
        <v>80000</v>
      </c>
      <c r="I84" s="1053">
        <f>+I82</f>
        <v>0</v>
      </c>
      <c r="J84" s="1054">
        <f>+I84+J82</f>
        <v>206908</v>
      </c>
      <c r="K84" s="1054">
        <f>+J84+K82</f>
        <v>82155</v>
      </c>
      <c r="L84" s="1106">
        <f>+K84+L82</f>
        <v>-59531</v>
      </c>
      <c r="M84" s="1054">
        <f t="shared" ref="M84:X84" si="26">+L84+M82</f>
        <v>-192713</v>
      </c>
      <c r="N84" s="1054">
        <f t="shared" si="26"/>
        <v>-444919</v>
      </c>
      <c r="O84" s="1054">
        <f t="shared" si="26"/>
        <v>-459900</v>
      </c>
      <c r="P84" s="1102">
        <f t="shared" si="26"/>
        <v>-141955</v>
      </c>
      <c r="Q84" s="1102">
        <f t="shared" si="26"/>
        <v>69147</v>
      </c>
      <c r="R84" s="1102">
        <f t="shared" si="26"/>
        <v>352075</v>
      </c>
      <c r="S84" s="1102">
        <f t="shared" si="26"/>
        <v>36729</v>
      </c>
      <c r="T84" s="1102">
        <f t="shared" si="26"/>
        <v>164618</v>
      </c>
      <c r="U84" s="1102">
        <f t="shared" si="26"/>
        <v>164618</v>
      </c>
      <c r="V84" s="1102">
        <f t="shared" si="26"/>
        <v>164618</v>
      </c>
      <c r="W84" s="1102">
        <f t="shared" si="26"/>
        <v>164618</v>
      </c>
      <c r="X84" s="1102">
        <f t="shared" si="26"/>
        <v>164618</v>
      </c>
    </row>
    <row r="85" spans="2:73">
      <c r="B85" s="443"/>
      <c r="C85" s="443"/>
      <c r="D85" s="443"/>
      <c r="E85" s="443"/>
      <c r="F85" s="443"/>
      <c r="G85" s="443"/>
      <c r="H85" s="444"/>
      <c r="I85" s="445"/>
      <c r="J85" s="443"/>
      <c r="K85" s="443"/>
      <c r="L85" s="443"/>
      <c r="M85" s="443"/>
      <c r="N85" s="443"/>
      <c r="O85" s="443"/>
      <c r="P85" s="443"/>
      <c r="Q85" s="443"/>
      <c r="R85" s="443"/>
      <c r="S85" s="443"/>
      <c r="T85" s="443"/>
      <c r="U85" s="443"/>
      <c r="V85" s="443"/>
      <c r="W85" s="443"/>
      <c r="X85" s="443"/>
    </row>
    <row r="87" spans="2:73" s="20" customFormat="1" ht="31.5" customHeight="1">
      <c r="C87" s="226" t="s">
        <v>219</v>
      </c>
      <c r="D87" s="1263" t="s">
        <v>220</v>
      </c>
      <c r="E87" s="1263"/>
      <c r="F87" s="1263"/>
      <c r="G87" s="1263"/>
      <c r="H87" s="1263"/>
      <c r="I87" s="1263"/>
      <c r="J87" s="1263"/>
      <c r="K87" s="1263"/>
      <c r="L87" s="1263"/>
      <c r="P87" s="446"/>
      <c r="Q87" s="446"/>
      <c r="R87" s="446"/>
      <c r="S87" s="446"/>
      <c r="T87" s="446"/>
      <c r="U87" s="1269" t="s">
        <v>254</v>
      </c>
      <c r="V87" s="1269"/>
      <c r="W87" s="1269"/>
      <c r="X87" s="1269"/>
      <c r="Y87" s="49"/>
      <c r="Z87" s="49"/>
      <c r="AA87" s="49"/>
      <c r="AB87" s="49"/>
      <c r="AC87" s="49"/>
      <c r="AD87" s="49"/>
      <c r="AE87" s="49"/>
      <c r="AF87" s="49"/>
      <c r="AG87" s="49"/>
      <c r="AH87" s="49"/>
      <c r="AI87" s="49"/>
      <c r="AJ87" s="49"/>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row>
    <row r="88" spans="2:73" s="20" customFormat="1" ht="16.5">
      <c r="C88" s="226" t="s">
        <v>221</v>
      </c>
      <c r="D88" s="20" t="s">
        <v>222</v>
      </c>
      <c r="H88" s="447"/>
      <c r="I88" s="448"/>
      <c r="Y88" s="49"/>
      <c r="Z88" s="49"/>
      <c r="AA88" s="49"/>
      <c r="AB88" s="49"/>
      <c r="AC88" s="49"/>
      <c r="AD88" s="49"/>
      <c r="AE88" s="49"/>
      <c r="AF88" s="49"/>
      <c r="AG88" s="49"/>
      <c r="AH88" s="49"/>
      <c r="AI88" s="49"/>
      <c r="AJ88" s="49"/>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row>
    <row r="89" spans="2:73" s="20" customFormat="1" ht="16.5">
      <c r="C89" s="226" t="s">
        <v>223</v>
      </c>
      <c r="D89" s="20" t="s">
        <v>224</v>
      </c>
      <c r="H89" s="447"/>
      <c r="I89" s="448"/>
      <c r="Y89" s="49"/>
      <c r="Z89" s="49"/>
      <c r="AA89" s="49"/>
      <c r="AB89" s="49"/>
      <c r="AC89" s="49"/>
      <c r="AD89" s="49"/>
      <c r="AE89" s="49"/>
      <c r="AF89" s="49"/>
      <c r="AG89" s="49"/>
      <c r="AH89" s="49"/>
      <c r="AI89" s="49"/>
      <c r="AJ89" s="49"/>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row>
    <row r="90" spans="2:73" s="20" customFormat="1" ht="16.5">
      <c r="C90" s="226" t="s">
        <v>225</v>
      </c>
      <c r="D90" s="20" t="s">
        <v>226</v>
      </c>
      <c r="H90" s="447"/>
      <c r="I90" s="448"/>
      <c r="Y90" s="49"/>
      <c r="Z90" s="49"/>
      <c r="AA90" s="49"/>
      <c r="AB90" s="49"/>
      <c r="AC90" s="49"/>
      <c r="AD90" s="49"/>
      <c r="AE90" s="49"/>
      <c r="AF90" s="49"/>
      <c r="AG90" s="49"/>
      <c r="AH90" s="49"/>
      <c r="AI90" s="49"/>
      <c r="AJ90" s="49"/>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row>
    <row r="91" spans="2:73" s="20" customFormat="1" ht="16.5">
      <c r="C91" s="226" t="s">
        <v>227</v>
      </c>
      <c r="D91" s="20" t="s">
        <v>228</v>
      </c>
      <c r="H91" s="447"/>
      <c r="I91" s="448"/>
      <c r="W91" s="449"/>
      <c r="Y91" s="49"/>
      <c r="Z91" s="49"/>
      <c r="AA91" s="49"/>
      <c r="AB91" s="49"/>
      <c r="AC91" s="49"/>
      <c r="AD91" s="49"/>
      <c r="AE91" s="49"/>
      <c r="AF91" s="49"/>
      <c r="AG91" s="49"/>
      <c r="AH91" s="49"/>
      <c r="AI91" s="49"/>
      <c r="AJ91" s="49"/>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row>
    <row r="92" spans="2:73" s="20" customFormat="1" ht="16.5">
      <c r="C92" s="226" t="s">
        <v>229</v>
      </c>
      <c r="D92" s="20" t="s">
        <v>230</v>
      </c>
      <c r="H92" s="447"/>
      <c r="I92" s="448"/>
      <c r="Y92" s="49"/>
      <c r="Z92" s="49"/>
      <c r="AA92" s="49"/>
      <c r="AB92" s="49"/>
      <c r="AC92" s="49"/>
      <c r="AD92" s="49"/>
      <c r="AE92" s="49"/>
      <c r="AF92" s="49"/>
      <c r="AG92" s="49"/>
      <c r="AH92" s="49"/>
      <c r="AI92" s="49"/>
      <c r="AJ92" s="49"/>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row>
    <row r="94" spans="2:73">
      <c r="C94" s="450" t="s">
        <v>255</v>
      </c>
    </row>
    <row r="96" spans="2:73">
      <c r="P96" s="451"/>
    </row>
    <row r="97" spans="2:73">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row>
    <row r="98" spans="2:73">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row>
    <row r="99" spans="2:73" ht="15.75" thickBot="1">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row>
    <row r="100" spans="2:73" ht="51.75" customHeight="1" thickBot="1">
      <c r="B100" s="452" t="s">
        <v>256</v>
      </c>
      <c r="C100" s="376"/>
      <c r="D100" s="376"/>
      <c r="E100" s="376"/>
      <c r="F100" s="376"/>
      <c r="G100" s="377"/>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row>
    <row r="101" spans="2:73" ht="15" customHeight="1">
      <c r="B101" s="453" t="s">
        <v>231</v>
      </c>
      <c r="C101" s="1267" t="s">
        <v>257</v>
      </c>
      <c r="D101" s="1267"/>
      <c r="E101" s="1267"/>
      <c r="F101" s="1267"/>
      <c r="G101" s="1267"/>
      <c r="H101" s="45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row>
    <row r="102" spans="2:73" ht="51.75" customHeight="1">
      <c r="B102" s="20"/>
      <c r="C102" s="1263"/>
      <c r="D102" s="1263"/>
      <c r="E102" s="1263"/>
      <c r="F102" s="1263"/>
      <c r="G102" s="1263"/>
      <c r="H102" s="45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row>
    <row r="103" spans="2:73">
      <c r="B103" s="20"/>
      <c r="C103" s="1263"/>
      <c r="D103" s="1263"/>
      <c r="E103" s="1263"/>
      <c r="F103" s="1263"/>
      <c r="G103" s="1263"/>
      <c r="H103" s="45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row>
    <row r="104" spans="2:73">
      <c r="B104" s="20"/>
      <c r="C104" s="1263"/>
      <c r="D104" s="1263"/>
      <c r="E104" s="1263"/>
      <c r="F104" s="1263"/>
      <c r="G104" s="1263"/>
      <c r="H104" s="45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row>
    <row r="105" spans="2:73" ht="54" customHeight="1">
      <c r="B105" s="453" t="s">
        <v>231</v>
      </c>
      <c r="C105" s="1263" t="s">
        <v>258</v>
      </c>
      <c r="D105" s="1263"/>
      <c r="E105" s="1263"/>
      <c r="F105" s="1263"/>
      <c r="G105" s="1263"/>
      <c r="H105" s="454"/>
      <c r="I105" s="455"/>
      <c r="J105" s="456"/>
      <c r="K105" s="456"/>
      <c r="L105" s="456"/>
      <c r="M105" s="456"/>
      <c r="N105" s="456"/>
      <c r="O105" s="456"/>
      <c r="P105" s="456"/>
      <c r="Q105" s="456"/>
      <c r="R105" s="456"/>
      <c r="S105" s="456"/>
      <c r="T105" s="456"/>
      <c r="U105" s="456"/>
      <c r="V105" s="456"/>
      <c r="W105" s="456"/>
      <c r="X105" s="456"/>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row>
    <row r="106" spans="2:73">
      <c r="B106" s="20"/>
      <c r="C106" s="1263"/>
      <c r="D106" s="1263"/>
      <c r="E106" s="1263"/>
      <c r="F106" s="1263"/>
      <c r="G106" s="1263"/>
      <c r="H106" s="454"/>
      <c r="I106" s="455"/>
      <c r="J106" s="456"/>
      <c r="K106" s="456"/>
      <c r="L106" s="456"/>
      <c r="M106" s="456"/>
      <c r="N106" s="456"/>
      <c r="O106" s="456"/>
      <c r="P106" s="456"/>
      <c r="Q106" s="456"/>
      <c r="R106" s="456"/>
      <c r="S106" s="456"/>
      <c r="T106" s="456"/>
      <c r="U106" s="456"/>
      <c r="V106" s="456"/>
      <c r="W106" s="456"/>
      <c r="X106" s="456"/>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row>
    <row r="107" spans="2:73">
      <c r="B107" s="20"/>
      <c r="C107" s="1263"/>
      <c r="D107" s="1263"/>
      <c r="E107" s="1263"/>
      <c r="F107" s="1263"/>
      <c r="G107" s="1263"/>
      <c r="H107" s="454"/>
      <c r="I107" s="455"/>
      <c r="J107" s="456"/>
      <c r="K107" s="456"/>
      <c r="L107" s="456"/>
      <c r="M107" s="456"/>
      <c r="N107" s="456"/>
      <c r="O107" s="456"/>
      <c r="P107" s="456"/>
      <c r="Q107" s="456"/>
      <c r="R107" s="456"/>
      <c r="S107" s="456"/>
      <c r="T107" s="456"/>
      <c r="U107" s="456"/>
      <c r="V107" s="456"/>
      <c r="W107" s="456"/>
      <c r="X107" s="456"/>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row>
    <row r="108" spans="2:73">
      <c r="B108" s="20"/>
      <c r="C108" s="1263"/>
      <c r="D108" s="1263"/>
      <c r="E108" s="1263"/>
      <c r="F108" s="1263"/>
      <c r="G108" s="1263"/>
      <c r="H108" s="454"/>
      <c r="I108" s="455"/>
      <c r="J108" s="456"/>
      <c r="K108" s="456"/>
      <c r="L108" s="456"/>
      <c r="M108" s="456"/>
      <c r="N108" s="456"/>
      <c r="O108" s="456"/>
      <c r="P108" s="456"/>
      <c r="Q108" s="456"/>
      <c r="R108" s="456"/>
      <c r="S108" s="456"/>
      <c r="T108" s="456"/>
      <c r="U108" s="456"/>
      <c r="V108" s="456"/>
      <c r="W108" s="456"/>
      <c r="X108" s="456"/>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row>
    <row r="109" spans="2:73" ht="8.25" customHeight="1">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row>
    <row r="110" spans="2:73" ht="15" customHeight="1">
      <c r="B110" s="457" t="s">
        <v>231</v>
      </c>
      <c r="C110" s="1263" t="s">
        <v>259</v>
      </c>
      <c r="D110" s="1263"/>
      <c r="E110" s="1263"/>
      <c r="F110" s="1263"/>
      <c r="G110" s="1263"/>
      <c r="H110" s="45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row>
    <row r="111" spans="2:73" ht="14.25" customHeight="1">
      <c r="C111" s="1263"/>
      <c r="D111" s="1263"/>
      <c r="E111" s="1263"/>
      <c r="F111" s="1263"/>
      <c r="G111" s="1263"/>
      <c r="H111" s="45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row>
    <row r="112" spans="2:73" ht="14.25" customHeight="1">
      <c r="C112" s="1263"/>
      <c r="D112" s="1263"/>
      <c r="E112" s="1263"/>
      <c r="F112" s="1263"/>
      <c r="G112" s="1263"/>
      <c r="H112" s="45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row>
    <row r="113" spans="3:73" ht="14.25" customHeight="1">
      <c r="C113" s="1263"/>
      <c r="D113" s="1263"/>
      <c r="E113" s="1263"/>
      <c r="F113" s="1263"/>
      <c r="G113" s="1263"/>
      <c r="H113" s="454"/>
    </row>
    <row r="114" spans="3:73" ht="14.25" customHeight="1">
      <c r="C114" s="1263"/>
      <c r="D114" s="1263"/>
      <c r="E114" s="1263"/>
      <c r="F114" s="1263"/>
      <c r="G114" s="1263"/>
      <c r="H114" s="454"/>
    </row>
    <row r="115" spans="3:73" s="81" customFormat="1" ht="14.25" customHeight="1">
      <c r="C115" s="1263"/>
      <c r="D115" s="1263"/>
      <c r="E115" s="1263"/>
      <c r="F115" s="1263"/>
      <c r="G115" s="1263"/>
      <c r="H115" s="454"/>
      <c r="J115" s="14"/>
      <c r="K115" s="14"/>
      <c r="L115" s="14"/>
      <c r="M115" s="14"/>
      <c r="N115" s="14"/>
      <c r="O115" s="14"/>
      <c r="P115" s="14"/>
      <c r="Q115" s="14"/>
      <c r="R115" s="14"/>
      <c r="S115" s="14"/>
      <c r="T115" s="14"/>
      <c r="U115" s="14"/>
      <c r="V115" s="14"/>
      <c r="W115" s="14"/>
      <c r="X115" s="14"/>
      <c r="Y115" s="51"/>
      <c r="Z115" s="51"/>
      <c r="AA115" s="51"/>
      <c r="AB115" s="51"/>
      <c r="AC115" s="51"/>
      <c r="AD115" s="51"/>
      <c r="AE115" s="51"/>
      <c r="AF115" s="51"/>
      <c r="AG115" s="51"/>
      <c r="AH115" s="51"/>
      <c r="AI115" s="51"/>
      <c r="AJ115" s="51"/>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row>
    <row r="116" spans="3:73" s="81" customFormat="1" ht="14.25" customHeight="1">
      <c r="C116" s="1263"/>
      <c r="D116" s="1263"/>
      <c r="E116" s="1263"/>
      <c r="F116" s="1263"/>
      <c r="G116" s="1263"/>
      <c r="H116" s="454"/>
      <c r="J116" s="14"/>
      <c r="K116" s="14"/>
      <c r="L116" s="14"/>
      <c r="M116" s="14"/>
      <c r="N116" s="14"/>
      <c r="O116" s="14"/>
      <c r="P116" s="14"/>
      <c r="Q116" s="14"/>
      <c r="R116" s="14"/>
      <c r="S116" s="14"/>
      <c r="T116" s="14"/>
      <c r="U116" s="14"/>
      <c r="V116" s="14"/>
      <c r="W116" s="14"/>
      <c r="X116" s="14"/>
      <c r="Y116" s="51"/>
      <c r="Z116" s="51"/>
      <c r="AA116" s="51"/>
      <c r="AB116" s="51"/>
      <c r="AC116" s="51"/>
      <c r="AD116" s="51"/>
      <c r="AE116" s="51"/>
      <c r="AF116" s="51"/>
      <c r="AG116" s="51"/>
      <c r="AH116" s="51"/>
      <c r="AI116" s="51"/>
      <c r="AJ116" s="51"/>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row>
    <row r="117" spans="3:73" s="81" customFormat="1" ht="14.25" customHeight="1">
      <c r="C117" s="1263"/>
      <c r="D117" s="1263"/>
      <c r="E117" s="1263"/>
      <c r="F117" s="1263"/>
      <c r="G117" s="1263"/>
      <c r="H117" s="454"/>
      <c r="J117" s="14"/>
      <c r="K117" s="14"/>
      <c r="L117" s="14"/>
      <c r="M117" s="14"/>
      <c r="N117" s="14"/>
      <c r="O117" s="14"/>
      <c r="P117" s="14"/>
      <c r="Q117" s="14"/>
      <c r="R117" s="14"/>
      <c r="S117" s="14"/>
      <c r="T117" s="14"/>
      <c r="U117" s="14"/>
      <c r="V117" s="14"/>
      <c r="W117" s="14"/>
      <c r="X117" s="14"/>
      <c r="Y117" s="51"/>
      <c r="Z117" s="51"/>
      <c r="AA117" s="51"/>
      <c r="AB117" s="51"/>
      <c r="AC117" s="51"/>
      <c r="AD117" s="51"/>
      <c r="AE117" s="51"/>
      <c r="AF117" s="51"/>
      <c r="AG117" s="51"/>
      <c r="AH117" s="51"/>
      <c r="AI117" s="51"/>
      <c r="AJ117" s="51"/>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row>
    <row r="118" spans="3:73" s="81" customFormat="1" ht="14.25" customHeight="1">
      <c r="C118" s="1263"/>
      <c r="D118" s="1263"/>
      <c r="E118" s="1263"/>
      <c r="F118" s="1263"/>
      <c r="G118" s="1263"/>
      <c r="H118" s="454"/>
      <c r="J118" s="14"/>
      <c r="K118" s="14"/>
      <c r="L118" s="14"/>
      <c r="M118" s="14"/>
      <c r="N118" s="14"/>
      <c r="O118" s="14"/>
      <c r="P118" s="14"/>
      <c r="Q118" s="14"/>
      <c r="R118" s="14"/>
      <c r="S118" s="14"/>
      <c r="T118" s="14"/>
      <c r="U118" s="14"/>
      <c r="V118" s="14"/>
      <c r="W118" s="14"/>
      <c r="X118" s="14"/>
      <c r="Y118" s="51"/>
      <c r="Z118" s="51"/>
      <c r="AA118" s="51"/>
      <c r="AB118" s="51"/>
      <c r="AC118" s="51"/>
      <c r="AD118" s="51"/>
      <c r="AE118" s="51"/>
      <c r="AF118" s="51"/>
      <c r="AG118" s="51"/>
      <c r="AH118" s="51"/>
      <c r="AI118" s="51"/>
      <c r="AJ118" s="51"/>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row>
    <row r="119" spans="3:73" s="81" customFormat="1">
      <c r="C119" s="1263"/>
      <c r="D119" s="1263"/>
      <c r="E119" s="1263"/>
      <c r="F119" s="1263"/>
      <c r="G119" s="1263"/>
      <c r="H119" s="454"/>
      <c r="J119" s="14"/>
      <c r="K119" s="14"/>
      <c r="L119" s="14"/>
      <c r="M119" s="14"/>
      <c r="N119" s="14"/>
      <c r="O119" s="14"/>
      <c r="P119" s="14"/>
      <c r="Q119" s="14"/>
      <c r="R119" s="14"/>
      <c r="S119" s="14"/>
      <c r="T119" s="14"/>
      <c r="U119" s="14"/>
      <c r="V119" s="14"/>
      <c r="W119" s="14"/>
      <c r="X119" s="14"/>
      <c r="Y119" s="51"/>
      <c r="Z119" s="51"/>
      <c r="AA119" s="51"/>
      <c r="AB119" s="51"/>
      <c r="AC119" s="51"/>
      <c r="AD119" s="51"/>
      <c r="AE119" s="51"/>
      <c r="AF119" s="51"/>
      <c r="AG119" s="51"/>
      <c r="AH119" s="51"/>
      <c r="AI119" s="51"/>
      <c r="AJ119" s="51"/>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row>
    <row r="121" spans="3:73" s="81" customFormat="1">
      <c r="C121" s="20" t="s">
        <v>260</v>
      </c>
      <c r="D121" s="456"/>
      <c r="E121" s="456"/>
      <c r="F121" s="456"/>
      <c r="G121" s="456"/>
      <c r="H121" s="454"/>
      <c r="J121" s="14"/>
      <c r="K121" s="14"/>
      <c r="L121" s="14"/>
      <c r="M121" s="14"/>
      <c r="N121" s="14"/>
      <c r="O121" s="14"/>
      <c r="P121" s="14"/>
      <c r="Q121" s="14"/>
      <c r="R121" s="14"/>
      <c r="S121" s="14"/>
      <c r="T121" s="14"/>
      <c r="U121" s="14"/>
      <c r="V121" s="14"/>
      <c r="W121" s="14"/>
      <c r="X121" s="14"/>
      <c r="Y121" s="51"/>
      <c r="Z121" s="51"/>
      <c r="AA121" s="51"/>
      <c r="AB121" s="51"/>
      <c r="AC121" s="51"/>
      <c r="AD121" s="51"/>
      <c r="AE121" s="51"/>
      <c r="AF121" s="51"/>
      <c r="AG121" s="51"/>
      <c r="AH121" s="51"/>
      <c r="AI121" s="51"/>
      <c r="AJ121" s="51"/>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row>
    <row r="122" spans="3:73" s="81" customFormat="1">
      <c r="C122" s="20" t="s">
        <v>261</v>
      </c>
      <c r="D122" s="456"/>
      <c r="E122" s="456"/>
      <c r="F122" s="456"/>
      <c r="G122" s="456"/>
      <c r="H122" s="454"/>
      <c r="J122" s="14"/>
      <c r="K122" s="14"/>
      <c r="L122" s="14"/>
      <c r="M122" s="14"/>
      <c r="N122" s="14"/>
      <c r="O122" s="14"/>
      <c r="P122" s="14"/>
      <c r="Q122" s="14"/>
      <c r="R122" s="14"/>
      <c r="S122" s="14"/>
      <c r="T122" s="14"/>
      <c r="U122" s="14"/>
      <c r="V122" s="14"/>
      <c r="W122" s="14"/>
      <c r="X122" s="14"/>
      <c r="Y122" s="51"/>
      <c r="Z122" s="51"/>
      <c r="AA122" s="51"/>
      <c r="AB122" s="51"/>
      <c r="AC122" s="51"/>
      <c r="AD122" s="51"/>
      <c r="AE122" s="51"/>
      <c r="AF122" s="51"/>
      <c r="AG122" s="51"/>
      <c r="AH122" s="51"/>
      <c r="AI122" s="51"/>
      <c r="AJ122" s="51"/>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row>
    <row r="123" spans="3:73" s="81" customFormat="1" ht="65.25" customHeight="1">
      <c r="C123" s="456"/>
      <c r="D123" s="456"/>
      <c r="E123" s="456"/>
      <c r="F123" s="456"/>
      <c r="G123" s="456"/>
      <c r="H123" s="454"/>
      <c r="J123" s="14"/>
      <c r="K123" s="14"/>
      <c r="L123" s="14"/>
      <c r="M123" s="14"/>
      <c r="N123" s="14"/>
      <c r="O123" s="14"/>
      <c r="P123" s="14"/>
      <c r="Q123" s="14"/>
      <c r="R123" s="14"/>
      <c r="S123" s="14"/>
      <c r="T123" s="14"/>
      <c r="U123" s="14"/>
      <c r="V123" s="14"/>
      <c r="W123" s="14"/>
      <c r="X123" s="14"/>
      <c r="Y123" s="51"/>
      <c r="Z123" s="51"/>
      <c r="AA123" s="51"/>
      <c r="AB123" s="51"/>
      <c r="AC123" s="51"/>
      <c r="AD123" s="51"/>
      <c r="AE123" s="51"/>
      <c r="AF123" s="51"/>
      <c r="AG123" s="51"/>
      <c r="AH123" s="51"/>
      <c r="AI123" s="51"/>
      <c r="AJ123" s="51"/>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row>
    <row r="124" spans="3:73" s="81" customFormat="1" ht="65.25" customHeight="1">
      <c r="C124" s="456"/>
      <c r="D124" s="456"/>
      <c r="E124" s="456"/>
      <c r="F124" s="456"/>
      <c r="G124" s="456"/>
      <c r="H124" s="454"/>
      <c r="J124" s="14"/>
      <c r="K124" s="14"/>
      <c r="L124" s="14"/>
      <c r="M124" s="14"/>
      <c r="N124" s="14"/>
      <c r="O124" s="14"/>
      <c r="P124" s="14"/>
      <c r="Q124" s="14"/>
      <c r="R124" s="14"/>
      <c r="S124" s="14"/>
      <c r="T124" s="14"/>
      <c r="U124" s="14"/>
      <c r="V124" s="14"/>
      <c r="W124" s="14"/>
      <c r="X124" s="14"/>
      <c r="Y124" s="51"/>
      <c r="Z124" s="51"/>
      <c r="AA124" s="51"/>
      <c r="AB124" s="51"/>
      <c r="AC124" s="51"/>
      <c r="AD124" s="51"/>
      <c r="AE124" s="51"/>
      <c r="AF124" s="51"/>
      <c r="AG124" s="51"/>
      <c r="AH124" s="51"/>
      <c r="AI124" s="51"/>
      <c r="AJ124" s="51"/>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row>
  </sheetData>
  <protectedRanges>
    <protectedRange password="CF66" sqref="I58 I70:I78 I80 I82 I84 I61:I68 I16:I33 J40:O40 I36:I56" name="saldo kolom_1"/>
  </protectedRanges>
  <mergeCells count="32">
    <mergeCell ref="U87:X87"/>
    <mergeCell ref="R12:R13"/>
    <mergeCell ref="O12:O13"/>
    <mergeCell ref="B11:G13"/>
    <mergeCell ref="H11:H13"/>
    <mergeCell ref="J12:J13"/>
    <mergeCell ref="N12:N13"/>
    <mergeCell ref="L12:L13"/>
    <mergeCell ref="M12:M13"/>
    <mergeCell ref="K12:K13"/>
    <mergeCell ref="C110:G119"/>
    <mergeCell ref="C15:G15"/>
    <mergeCell ref="E54:G54"/>
    <mergeCell ref="E31:G31"/>
    <mergeCell ref="D87:L87"/>
    <mergeCell ref="C105:G108"/>
    <mergeCell ref="C101:G104"/>
    <mergeCell ref="B4:O4"/>
    <mergeCell ref="B5:X5"/>
    <mergeCell ref="B6:X6"/>
    <mergeCell ref="B7:X7"/>
    <mergeCell ref="T12:T13"/>
    <mergeCell ref="W12:W13"/>
    <mergeCell ref="J11:X11"/>
    <mergeCell ref="V12:V13"/>
    <mergeCell ref="W10:X10"/>
    <mergeCell ref="Q12:Q13"/>
    <mergeCell ref="S12:S13"/>
    <mergeCell ref="P12:P13"/>
    <mergeCell ref="X12:X13"/>
    <mergeCell ref="I11:I13"/>
    <mergeCell ref="U12:U13"/>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7" tint="0.39997558519241921"/>
  </sheetPr>
  <dimension ref="A1:BU129"/>
  <sheetViews>
    <sheetView topLeftCell="A4" zoomScale="70" zoomScaleNormal="70" workbookViewId="0">
      <pane ySplit="9" topLeftCell="A25" activePane="bottomLeft" state="frozen"/>
      <selection pane="bottomLeft" activeCell="J8" sqref="J8"/>
      <selection activeCell="A4" sqref="A4"/>
    </sheetView>
  </sheetViews>
  <sheetFormatPr defaultRowHeight="15"/>
  <cols>
    <col min="1" max="1" width="4" style="67" customWidth="1"/>
    <col min="2" max="2" width="5.140625" style="67" customWidth="1"/>
    <col min="3" max="4" width="3.7109375" style="67" customWidth="1"/>
    <col min="5" max="5" width="6" style="67" customWidth="1"/>
    <col min="6" max="6" width="2.7109375" style="67" customWidth="1"/>
    <col min="7" max="7" width="45.42578125" style="67" customWidth="1"/>
    <col min="8" max="8" width="12.140625" style="492" hidden="1" customWidth="1"/>
    <col min="9" max="9" width="18.140625" style="78" customWidth="1"/>
    <col min="10" max="10" width="16.85546875" style="67" bestFit="1" customWidth="1"/>
    <col min="11" max="11" width="16.5703125" style="67" customWidth="1"/>
    <col min="12" max="15" width="15.7109375" style="67" customWidth="1"/>
    <col min="16" max="24" width="16.7109375" style="67" customWidth="1"/>
    <col min="25" max="25" width="9.140625" style="52"/>
    <col min="26" max="26" width="9.28515625" style="52" bestFit="1" customWidth="1"/>
    <col min="27" max="28" width="13.140625" style="52" bestFit="1" customWidth="1"/>
    <col min="29" max="73" width="9.140625" style="52"/>
    <col min="74" max="16384" width="9.140625" style="67"/>
  </cols>
  <sheetData>
    <row r="1" spans="1:73" ht="15" hidden="1" customHeight="1"/>
    <row r="2" spans="1:73" s="63" customFormat="1" ht="16.5" hidden="1" customHeight="1" thickTop="1" thickBot="1">
      <c r="A2" s="79" t="s">
        <v>18</v>
      </c>
      <c r="B2" s="79" t="s">
        <v>19</v>
      </c>
      <c r="C2" s="79" t="s">
        <v>20</v>
      </c>
      <c r="D2" s="79" t="s">
        <v>21</v>
      </c>
      <c r="E2" s="79" t="s">
        <v>22</v>
      </c>
      <c r="F2" s="79" t="s">
        <v>23</v>
      </c>
      <c r="G2" s="79" t="s">
        <v>24</v>
      </c>
      <c r="H2" s="493"/>
      <c r="I2" s="494" t="s">
        <v>25</v>
      </c>
      <c r="J2" s="79" t="s">
        <v>26</v>
      </c>
      <c r="K2" s="79" t="s">
        <v>27</v>
      </c>
      <c r="L2" s="79" t="s">
        <v>28</v>
      </c>
      <c r="M2" s="79" t="s">
        <v>29</v>
      </c>
      <c r="N2" s="79" t="s">
        <v>30</v>
      </c>
      <c r="O2" s="79" t="s">
        <v>31</v>
      </c>
      <c r="P2" s="495"/>
      <c r="Q2" s="495"/>
      <c r="R2" s="495"/>
      <c r="S2" s="495"/>
      <c r="T2" s="495"/>
      <c r="U2" s="495"/>
      <c r="V2" s="495"/>
      <c r="W2" s="495"/>
      <c r="X2" s="495"/>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row>
    <row r="3" spans="1:73" ht="41.25" hidden="1" customHeight="1">
      <c r="B3" s="1281" t="s">
        <v>235</v>
      </c>
      <c r="C3" s="1281"/>
      <c r="D3" s="1281"/>
      <c r="E3" s="1281"/>
      <c r="F3" s="1281"/>
      <c r="G3" s="1281"/>
      <c r="H3" s="1281"/>
      <c r="I3" s="1281"/>
      <c r="J3" s="1281"/>
      <c r="K3" s="1281"/>
      <c r="L3" s="1281"/>
      <c r="M3" s="1281"/>
      <c r="N3" s="1281"/>
      <c r="O3" s="1281"/>
      <c r="P3" s="533"/>
      <c r="Q3" s="533"/>
      <c r="R3" s="533"/>
      <c r="S3" s="533"/>
      <c r="T3" s="533"/>
      <c r="U3" s="533"/>
      <c r="V3" s="533"/>
      <c r="W3" s="533"/>
      <c r="X3" s="533"/>
    </row>
    <row r="4" spans="1:73" ht="20.25">
      <c r="B4" s="1282" t="s">
        <v>313</v>
      </c>
      <c r="C4" s="1282"/>
      <c r="D4" s="1282"/>
      <c r="E4" s="1282"/>
      <c r="F4" s="1282"/>
      <c r="G4" s="1282"/>
      <c r="H4" s="1282"/>
      <c r="I4" s="1282"/>
      <c r="J4" s="1282"/>
      <c r="K4" s="1282"/>
      <c r="L4" s="1282"/>
      <c r="M4" s="1282"/>
      <c r="N4" s="1282"/>
      <c r="O4" s="1282"/>
      <c r="P4" s="1282"/>
      <c r="Q4" s="1282"/>
      <c r="R4" s="1282"/>
      <c r="S4" s="1282"/>
      <c r="T4" s="1282"/>
      <c r="U4" s="1282"/>
      <c r="V4" s="1282"/>
      <c r="W4" s="1282"/>
      <c r="X4" s="1282"/>
    </row>
    <row r="5" spans="1:73" ht="20.25">
      <c r="B5" s="1282" t="s">
        <v>237</v>
      </c>
      <c r="C5" s="1282"/>
      <c r="D5" s="1282"/>
      <c r="E5" s="1282"/>
      <c r="F5" s="1282"/>
      <c r="G5" s="1282"/>
      <c r="H5" s="1282"/>
      <c r="I5" s="1282"/>
      <c r="J5" s="1282"/>
      <c r="K5" s="1282"/>
      <c r="L5" s="1282"/>
      <c r="M5" s="1282"/>
      <c r="N5" s="1282"/>
      <c r="O5" s="1282"/>
      <c r="P5" s="1282"/>
      <c r="Q5" s="1282"/>
      <c r="R5" s="1282"/>
      <c r="S5" s="1282"/>
      <c r="T5" s="1282"/>
      <c r="U5" s="1282"/>
      <c r="V5" s="1282"/>
      <c r="W5" s="1282"/>
      <c r="X5" s="1282"/>
    </row>
    <row r="6" spans="1:73" ht="20.25">
      <c r="B6" s="1290" t="s">
        <v>314</v>
      </c>
      <c r="C6" s="1282"/>
      <c r="D6" s="1282"/>
      <c r="E6" s="1282"/>
      <c r="F6" s="1282"/>
      <c r="G6" s="1282"/>
      <c r="H6" s="1282"/>
      <c r="I6" s="1282"/>
      <c r="J6" s="1282"/>
      <c r="K6" s="1282"/>
      <c r="L6" s="1282"/>
      <c r="M6" s="1282"/>
      <c r="N6" s="1282"/>
      <c r="O6" s="1282"/>
      <c r="P6" s="1282"/>
      <c r="Q6" s="1282"/>
      <c r="R6" s="1282"/>
      <c r="S6" s="1282"/>
      <c r="T6" s="1282"/>
      <c r="U6" s="1282"/>
      <c r="V6" s="1282"/>
      <c r="W6" s="1282"/>
      <c r="X6" s="1282"/>
    </row>
    <row r="7" spans="1:73" ht="18">
      <c r="B7" s="609" t="s">
        <v>315</v>
      </c>
      <c r="C7" s="609"/>
      <c r="D7" s="609"/>
      <c r="E7" s="609"/>
      <c r="F7" s="609"/>
      <c r="G7" s="609"/>
      <c r="H7" s="609"/>
      <c r="I7" s="610" t="s">
        <v>3</v>
      </c>
      <c r="J7" s="611">
        <f>(SUM(J14:L14))+(SUM(J62:L62))</f>
        <v>596768</v>
      </c>
      <c r="K7" s="737">
        <f>+J7/J8</f>
        <v>1.251857539028248</v>
      </c>
      <c r="L7" s="738">
        <f>J7-J8</f>
        <v>120062</v>
      </c>
      <c r="M7" s="738"/>
      <c r="N7" s="609"/>
      <c r="O7" s="609"/>
      <c r="P7" s="609"/>
      <c r="Q7" s="609"/>
      <c r="R7" s="609"/>
      <c r="S7" s="609"/>
      <c r="T7" s="609"/>
      <c r="U7" s="609"/>
      <c r="V7" s="609"/>
      <c r="W7" s="609"/>
      <c r="X7" s="609"/>
    </row>
    <row r="8" spans="1:73" ht="15" customHeight="1" thickBot="1">
      <c r="B8" s="496"/>
      <c r="C8" s="496"/>
      <c r="D8" s="496"/>
      <c r="E8" s="496"/>
      <c r="F8" s="496"/>
      <c r="G8" s="496"/>
      <c r="H8" s="497"/>
      <c r="I8" s="477" t="s">
        <v>4</v>
      </c>
      <c r="J8" s="612">
        <f>(SUM(J36:L36))+(SUM(J71:L71))-((G89+G90+G91)/1000)</f>
        <v>476706</v>
      </c>
      <c r="K8" s="613"/>
      <c r="L8" s="478"/>
      <c r="M8" s="478"/>
      <c r="N8" s="736"/>
      <c r="O8" s="736"/>
      <c r="P8" s="736"/>
      <c r="Q8" s="496"/>
      <c r="R8" s="496"/>
      <c r="S8" s="496"/>
      <c r="T8" s="496"/>
      <c r="U8" s="496"/>
      <c r="V8" s="496"/>
      <c r="X8" s="730" t="s">
        <v>316</v>
      </c>
    </row>
    <row r="9" spans="1:73" s="64" customFormat="1" ht="15" customHeight="1" thickBot="1">
      <c r="B9" s="54"/>
      <c r="C9" s="54"/>
      <c r="D9" s="54"/>
      <c r="E9" s="54"/>
      <c r="F9" s="54"/>
      <c r="G9" s="54" t="s">
        <v>169</v>
      </c>
      <c r="H9" s="498"/>
      <c r="I9" s="499"/>
      <c r="J9" s="54">
        <v>46210</v>
      </c>
      <c r="K9" s="54">
        <v>46217</v>
      </c>
      <c r="L9" s="54">
        <v>46234</v>
      </c>
      <c r="M9" s="54">
        <v>46295</v>
      </c>
      <c r="N9" s="54">
        <v>46387</v>
      </c>
      <c r="O9" s="54">
        <v>46568</v>
      </c>
      <c r="P9" s="54">
        <v>46934</v>
      </c>
      <c r="Q9" s="54">
        <v>47299</v>
      </c>
      <c r="R9" s="54">
        <v>47664</v>
      </c>
      <c r="S9" s="54">
        <v>48029</v>
      </c>
      <c r="T9" s="54">
        <v>48760</v>
      </c>
      <c r="U9" s="54">
        <v>49856</v>
      </c>
      <c r="V9" s="54">
        <v>51682</v>
      </c>
      <c r="W9" s="54">
        <v>53508</v>
      </c>
      <c r="X9" s="730"/>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row>
    <row r="10" spans="1:73" s="65" customFormat="1" ht="26.25" customHeight="1" thickBot="1">
      <c r="B10" s="1291" t="s">
        <v>40</v>
      </c>
      <c r="C10" s="1292"/>
      <c r="D10" s="1292"/>
      <c r="E10" s="1292"/>
      <c r="F10" s="1292"/>
      <c r="G10" s="1292"/>
      <c r="H10" s="1297" t="s">
        <v>240</v>
      </c>
      <c r="I10" s="1300" t="s">
        <v>241</v>
      </c>
      <c r="J10" s="1303" t="s">
        <v>242</v>
      </c>
      <c r="K10" s="1304"/>
      <c r="L10" s="1304"/>
      <c r="M10" s="1304"/>
      <c r="N10" s="1304"/>
      <c r="O10" s="1304"/>
      <c r="P10" s="1304"/>
      <c r="Q10" s="1304"/>
      <c r="R10" s="1304"/>
      <c r="S10" s="1304"/>
      <c r="T10" s="1304"/>
      <c r="U10" s="1304"/>
      <c r="V10" s="1304"/>
      <c r="W10" s="1304"/>
      <c r="X10" s="130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row>
    <row r="11" spans="1:73" ht="26.25" customHeight="1">
      <c r="B11" s="1293"/>
      <c r="C11" s="1294"/>
      <c r="D11" s="1294"/>
      <c r="E11" s="1294"/>
      <c r="F11" s="1294"/>
      <c r="G11" s="1294"/>
      <c r="H11" s="1298"/>
      <c r="I11" s="1301"/>
      <c r="J11" s="1286" t="s">
        <v>243</v>
      </c>
      <c r="K11" s="1283" t="s">
        <v>244</v>
      </c>
      <c r="L11" s="1283" t="s">
        <v>245</v>
      </c>
      <c r="M11" s="1283" t="s">
        <v>246</v>
      </c>
      <c r="N11" s="1283" t="s">
        <v>247</v>
      </c>
      <c r="O11" s="1283" t="s">
        <v>248</v>
      </c>
      <c r="P11" s="1277" t="s">
        <v>53</v>
      </c>
      <c r="Q11" s="1277" t="s">
        <v>54</v>
      </c>
      <c r="R11" s="1277" t="s">
        <v>55</v>
      </c>
      <c r="S11" s="1277" t="s">
        <v>56</v>
      </c>
      <c r="T11" s="1277" t="s">
        <v>57</v>
      </c>
      <c r="U11" s="1277" t="s">
        <v>58</v>
      </c>
      <c r="V11" s="1277" t="s">
        <v>59</v>
      </c>
      <c r="W11" s="1277" t="s">
        <v>60</v>
      </c>
      <c r="X11" s="1277" t="s">
        <v>61</v>
      </c>
    </row>
    <row r="12" spans="1:73" ht="26.25" customHeight="1" thickBot="1">
      <c r="B12" s="1295"/>
      <c r="C12" s="1296"/>
      <c r="D12" s="1296"/>
      <c r="E12" s="1296"/>
      <c r="F12" s="1296"/>
      <c r="G12" s="1296"/>
      <c r="H12" s="1299"/>
      <c r="I12" s="1302"/>
      <c r="J12" s="1287"/>
      <c r="K12" s="1284"/>
      <c r="L12" s="1284"/>
      <c r="M12" s="1284"/>
      <c r="N12" s="1284"/>
      <c r="O12" s="1284"/>
      <c r="P12" s="1278"/>
      <c r="Q12" s="1278"/>
      <c r="R12" s="1278"/>
      <c r="S12" s="1278"/>
      <c r="T12" s="1278"/>
      <c r="U12" s="1278"/>
      <c r="V12" s="1278"/>
      <c r="W12" s="1278"/>
      <c r="X12" s="1278"/>
    </row>
    <row r="13" spans="1:73">
      <c r="B13" s="614" t="s">
        <v>63</v>
      </c>
      <c r="C13" s="1285" t="s">
        <v>64</v>
      </c>
      <c r="D13" s="1285"/>
      <c r="E13" s="1285"/>
      <c r="F13" s="1285"/>
      <c r="G13" s="1285"/>
      <c r="H13" s="615"/>
      <c r="I13" s="616"/>
      <c r="J13" s="617"/>
      <c r="K13" s="618"/>
      <c r="L13" s="618"/>
      <c r="M13" s="619"/>
      <c r="N13" s="620"/>
      <c r="O13" s="619"/>
      <c r="P13" s="621"/>
      <c r="Q13" s="622"/>
      <c r="R13" s="622"/>
      <c r="S13" s="622"/>
      <c r="T13" s="622"/>
      <c r="U13" s="622"/>
      <c r="V13" s="622"/>
      <c r="W13" s="622"/>
      <c r="X13" s="622"/>
    </row>
    <row r="14" spans="1:73" s="66" customFormat="1" ht="15.75" thickBot="1">
      <c r="B14" s="868" t="s">
        <v>65</v>
      </c>
      <c r="C14" s="869" t="s">
        <v>3</v>
      </c>
      <c r="D14" s="870"/>
      <c r="E14" s="870"/>
      <c r="F14" s="870"/>
      <c r="G14" s="870"/>
      <c r="H14" s="871">
        <v>10000</v>
      </c>
      <c r="I14" s="872">
        <v>1021397</v>
      </c>
      <c r="J14" s="873">
        <v>505264</v>
      </c>
      <c r="K14" s="873">
        <v>0</v>
      </c>
      <c r="L14" s="873">
        <v>1504</v>
      </c>
      <c r="M14" s="873">
        <v>7810</v>
      </c>
      <c r="N14" s="873">
        <v>57021</v>
      </c>
      <c r="O14" s="873">
        <v>55616</v>
      </c>
      <c r="P14" s="873">
        <v>72615</v>
      </c>
      <c r="Q14" s="873">
        <v>169643</v>
      </c>
      <c r="R14" s="873">
        <v>16881</v>
      </c>
      <c r="S14" s="873">
        <v>10055</v>
      </c>
      <c r="T14" s="873">
        <v>44819</v>
      </c>
      <c r="U14" s="873">
        <v>77610</v>
      </c>
      <c r="V14" s="873">
        <v>2559</v>
      </c>
      <c r="W14" s="873">
        <v>0</v>
      </c>
      <c r="X14" s="873">
        <v>0</v>
      </c>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row>
    <row r="15" spans="1:73" s="66" customFormat="1" ht="15.75" thickBot="1">
      <c r="B15" s="623"/>
      <c r="C15" s="624" t="s">
        <v>66</v>
      </c>
      <c r="D15" s="625" t="s">
        <v>67</v>
      </c>
      <c r="E15" s="626"/>
      <c r="F15" s="626"/>
      <c r="G15" s="626"/>
      <c r="H15" s="500">
        <v>10100</v>
      </c>
      <c r="I15" s="501">
        <v>234</v>
      </c>
      <c r="J15" s="502">
        <v>233.9370052485335</v>
      </c>
      <c r="K15" s="503">
        <v>0</v>
      </c>
      <c r="L15" s="503">
        <v>0</v>
      </c>
      <c r="M15" s="503">
        <v>0</v>
      </c>
      <c r="N15" s="503">
        <v>0</v>
      </c>
      <c r="O15" s="503">
        <v>0</v>
      </c>
      <c r="P15" s="503">
        <v>0</v>
      </c>
      <c r="Q15" s="503">
        <v>0</v>
      </c>
      <c r="R15" s="503">
        <v>0</v>
      </c>
      <c r="S15" s="503">
        <v>0</v>
      </c>
      <c r="T15" s="503">
        <v>0</v>
      </c>
      <c r="U15" s="503">
        <v>0</v>
      </c>
      <c r="V15" s="503">
        <v>0</v>
      </c>
      <c r="W15" s="503">
        <v>0</v>
      </c>
      <c r="X15" s="503">
        <v>0</v>
      </c>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row>
    <row r="16" spans="1:73" s="66" customFormat="1" ht="15.75" thickBot="1">
      <c r="B16" s="627"/>
      <c r="C16" s="628" t="s">
        <v>73</v>
      </c>
      <c r="D16" s="629" t="s">
        <v>74</v>
      </c>
      <c r="E16" s="629"/>
      <c r="F16" s="629"/>
      <c r="G16" s="1174"/>
      <c r="H16" s="500">
        <v>10200</v>
      </c>
      <c r="I16" s="501">
        <v>0</v>
      </c>
      <c r="J16" s="503">
        <v>0</v>
      </c>
      <c r="K16" s="503">
        <v>0</v>
      </c>
      <c r="L16" s="503">
        <v>0</v>
      </c>
      <c r="M16" s="503">
        <v>0</v>
      </c>
      <c r="N16" s="503">
        <v>0</v>
      </c>
      <c r="O16" s="503">
        <v>0</v>
      </c>
      <c r="P16" s="503">
        <v>0</v>
      </c>
      <c r="Q16" s="503">
        <v>0</v>
      </c>
      <c r="R16" s="503">
        <v>0</v>
      </c>
      <c r="S16" s="503">
        <v>0</v>
      </c>
      <c r="T16" s="503">
        <v>0</v>
      </c>
      <c r="U16" s="503">
        <v>0</v>
      </c>
      <c r="V16" s="503">
        <v>0</v>
      </c>
      <c r="W16" s="503">
        <v>0</v>
      </c>
      <c r="X16" s="503">
        <v>0</v>
      </c>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row>
    <row r="17" spans="2:73" s="66" customFormat="1" ht="15.75" thickBot="1">
      <c r="B17" s="623"/>
      <c r="C17" s="624" t="s">
        <v>77</v>
      </c>
      <c r="D17" s="630" t="s">
        <v>78</v>
      </c>
      <c r="E17" s="626"/>
      <c r="F17" s="626"/>
      <c r="G17" s="1175"/>
      <c r="H17" s="504">
        <v>10300</v>
      </c>
      <c r="I17" s="501">
        <v>505030</v>
      </c>
      <c r="J17" s="502">
        <v>505029.86228465574</v>
      </c>
      <c r="K17" s="503">
        <v>0</v>
      </c>
      <c r="L17" s="503">
        <v>0</v>
      </c>
      <c r="M17" s="503">
        <v>0</v>
      </c>
      <c r="N17" s="503">
        <v>0</v>
      </c>
      <c r="O17" s="503">
        <v>0</v>
      </c>
      <c r="P17" s="503">
        <v>0</v>
      </c>
      <c r="Q17" s="503">
        <v>0</v>
      </c>
      <c r="R17" s="503">
        <v>0</v>
      </c>
      <c r="S17" s="503">
        <v>0</v>
      </c>
      <c r="T17" s="503">
        <v>0</v>
      </c>
      <c r="U17" s="503">
        <v>0</v>
      </c>
      <c r="V17" s="503">
        <v>0</v>
      </c>
      <c r="W17" s="503">
        <v>0</v>
      </c>
      <c r="X17" s="503">
        <v>0</v>
      </c>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row>
    <row r="18" spans="2:73" s="66" customFormat="1" ht="15.75" thickBot="1">
      <c r="B18" s="1176"/>
      <c r="C18" s="1177"/>
      <c r="D18" s="645"/>
      <c r="E18" s="645" t="s">
        <v>317</v>
      </c>
      <c r="F18" s="1178" t="s">
        <v>318</v>
      </c>
      <c r="G18" s="1179"/>
      <c r="H18" s="1180"/>
      <c r="I18" s="1181">
        <v>390198.39066378516</v>
      </c>
      <c r="J18" s="1182">
        <v>390198.39066378516</v>
      </c>
      <c r="K18" s="1183"/>
      <c r="L18" s="1183"/>
      <c r="M18" s="1184"/>
      <c r="N18" s="1184"/>
      <c r="O18" s="1184"/>
      <c r="P18" s="1184"/>
      <c r="Q18" s="1183"/>
      <c r="R18" s="1184"/>
      <c r="S18" s="1183"/>
      <c r="T18" s="1184"/>
      <c r="U18" s="1183"/>
      <c r="V18" s="1183"/>
      <c r="W18" s="1184"/>
      <c r="X18" s="1184"/>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row>
    <row r="19" spans="2:73" s="66" customFormat="1" ht="15.75" thickBot="1">
      <c r="B19" s="1185"/>
      <c r="C19" s="1186"/>
      <c r="D19" s="1187"/>
      <c r="E19" s="66" t="s">
        <v>90</v>
      </c>
      <c r="F19" s="66" t="s">
        <v>319</v>
      </c>
      <c r="H19" s="1180"/>
      <c r="I19" s="1188">
        <v>114831.47162087058</v>
      </c>
      <c r="J19" s="1189">
        <v>114831.47162087058</v>
      </c>
      <c r="K19" s="1190"/>
      <c r="L19" s="1190"/>
      <c r="M19" s="1191"/>
      <c r="N19" s="1191"/>
      <c r="O19" s="1191"/>
      <c r="P19" s="1191"/>
      <c r="Q19" s="1190"/>
      <c r="R19" s="1191"/>
      <c r="S19" s="1190"/>
      <c r="T19" s="1191"/>
      <c r="U19" s="1190"/>
      <c r="V19" s="1190"/>
      <c r="W19" s="1191"/>
      <c r="X19" s="1191"/>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row>
    <row r="20" spans="2:73" s="66" customFormat="1">
      <c r="B20" s="623"/>
      <c r="C20" s="624" t="s">
        <v>81</v>
      </c>
      <c r="D20" s="626" t="s">
        <v>82</v>
      </c>
      <c r="E20" s="626"/>
      <c r="F20" s="626"/>
      <c r="G20" s="626"/>
      <c r="H20" s="500">
        <v>10400</v>
      </c>
      <c r="I20" s="501">
        <v>116061</v>
      </c>
      <c r="J20" s="505"/>
      <c r="K20" s="505">
        <v>0</v>
      </c>
      <c r="L20" s="505">
        <v>0</v>
      </c>
      <c r="M20" s="505">
        <v>0</v>
      </c>
      <c r="N20" s="505">
        <v>0</v>
      </c>
      <c r="O20" s="505">
        <v>41706.579086150043</v>
      </c>
      <c r="P20" s="505">
        <v>19113.222858085828</v>
      </c>
      <c r="Q20" s="505">
        <v>0</v>
      </c>
      <c r="R20" s="505">
        <v>16331.748089999997</v>
      </c>
      <c r="S20" s="505">
        <v>9778.7724299999991</v>
      </c>
      <c r="T20" s="505">
        <v>26571.794999999998</v>
      </c>
      <c r="U20" s="505">
        <v>0</v>
      </c>
      <c r="V20" s="505">
        <v>2558.9008953380671</v>
      </c>
      <c r="W20" s="505">
        <v>0</v>
      </c>
      <c r="X20" s="505">
        <v>0</v>
      </c>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row>
    <row r="21" spans="2:73" s="66" customFormat="1">
      <c r="B21" s="874"/>
      <c r="C21" s="875"/>
      <c r="D21" s="876" t="s">
        <v>84</v>
      </c>
      <c r="E21" s="876" t="s">
        <v>320</v>
      </c>
      <c r="F21" s="876"/>
      <c r="G21" s="876"/>
      <c r="H21" s="877">
        <v>10420</v>
      </c>
      <c r="I21" s="878">
        <v>116061</v>
      </c>
      <c r="J21" s="879">
        <v>0</v>
      </c>
      <c r="K21" s="879">
        <v>0</v>
      </c>
      <c r="L21" s="879">
        <v>0</v>
      </c>
      <c r="M21" s="879">
        <v>0</v>
      </c>
      <c r="N21" s="879">
        <v>0</v>
      </c>
      <c r="O21" s="879">
        <v>41706.579086150043</v>
      </c>
      <c r="P21" s="879">
        <v>19113.222858085828</v>
      </c>
      <c r="Q21" s="879">
        <v>0</v>
      </c>
      <c r="R21" s="879">
        <v>16331.748089999997</v>
      </c>
      <c r="S21" s="879">
        <v>9778.7724299999991</v>
      </c>
      <c r="T21" s="879">
        <v>26571.794999999998</v>
      </c>
      <c r="U21" s="879">
        <v>0</v>
      </c>
      <c r="V21" s="879">
        <v>2558.9008953380671</v>
      </c>
      <c r="W21" s="879">
        <v>0</v>
      </c>
      <c r="X21" s="879">
        <v>0</v>
      </c>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row>
    <row r="22" spans="2:73" s="66" customFormat="1">
      <c r="B22" s="880"/>
      <c r="C22" s="881"/>
      <c r="D22" s="882"/>
      <c r="E22" s="631" t="s">
        <v>87</v>
      </c>
      <c r="F22" s="631" t="s">
        <v>321</v>
      </c>
      <c r="G22" s="631"/>
      <c r="H22" s="883">
        <v>10421</v>
      </c>
      <c r="I22" s="884">
        <v>0</v>
      </c>
      <c r="J22" s="885">
        <v>0</v>
      </c>
      <c r="K22" s="885">
        <v>0</v>
      </c>
      <c r="L22" s="885">
        <v>0</v>
      </c>
      <c r="M22" s="885">
        <v>0</v>
      </c>
      <c r="N22" s="885">
        <v>0</v>
      </c>
      <c r="O22" s="885">
        <v>0</v>
      </c>
      <c r="P22" s="885">
        <v>0</v>
      </c>
      <c r="Q22" s="885">
        <v>0</v>
      </c>
      <c r="R22" s="885">
        <v>0</v>
      </c>
      <c r="S22" s="885">
        <v>0</v>
      </c>
      <c r="T22" s="885">
        <v>0</v>
      </c>
      <c r="U22" s="885">
        <v>0</v>
      </c>
      <c r="V22" s="885">
        <v>0</v>
      </c>
      <c r="W22" s="885">
        <v>0</v>
      </c>
      <c r="X22" s="885">
        <v>0</v>
      </c>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row>
    <row r="23" spans="2:73" s="66" customFormat="1">
      <c r="B23" s="632"/>
      <c r="C23" s="65"/>
      <c r="E23" s="633" t="s">
        <v>90</v>
      </c>
      <c r="F23" s="634" t="s">
        <v>91</v>
      </c>
      <c r="G23" s="634"/>
      <c r="H23" s="479">
        <v>10422</v>
      </c>
      <c r="I23" s="480">
        <v>78850</v>
      </c>
      <c r="J23" s="506">
        <v>0</v>
      </c>
      <c r="K23" s="506">
        <v>0</v>
      </c>
      <c r="L23" s="506">
        <v>0</v>
      </c>
      <c r="M23" s="506">
        <v>0</v>
      </c>
      <c r="N23" s="506">
        <v>0</v>
      </c>
      <c r="O23" s="506">
        <v>17540.224999999999</v>
      </c>
      <c r="P23" s="507">
        <v>14046.013152207472</v>
      </c>
      <c r="Q23" s="506">
        <v>0</v>
      </c>
      <c r="R23" s="506">
        <v>14357.924999999997</v>
      </c>
      <c r="S23" s="506">
        <v>3775.2</v>
      </c>
      <c r="T23" s="506">
        <v>26571.794999999998</v>
      </c>
      <c r="U23" s="506">
        <v>0</v>
      </c>
      <c r="V23" s="506">
        <v>2558.9008953380671</v>
      </c>
      <c r="W23" s="506">
        <v>0</v>
      </c>
      <c r="X23" s="506">
        <v>0</v>
      </c>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row>
    <row r="24" spans="2:73" s="66" customFormat="1">
      <c r="B24" s="632"/>
      <c r="C24" s="65"/>
      <c r="E24" s="635" t="s">
        <v>93</v>
      </c>
      <c r="F24" s="634" t="s">
        <v>94</v>
      </c>
      <c r="G24" s="634"/>
      <c r="H24" s="479">
        <v>10533</v>
      </c>
      <c r="I24" s="480">
        <v>37211</v>
      </c>
      <c r="J24" s="506">
        <v>0</v>
      </c>
      <c r="K24" s="506">
        <v>0</v>
      </c>
      <c r="L24" s="506">
        <v>0</v>
      </c>
      <c r="M24" s="506">
        <v>0</v>
      </c>
      <c r="N24" s="506">
        <v>0</v>
      </c>
      <c r="O24" s="506">
        <v>24166.354086150048</v>
      </c>
      <c r="P24" s="506">
        <v>5067.2097058783584</v>
      </c>
      <c r="Q24" s="506">
        <v>0</v>
      </c>
      <c r="R24" s="506">
        <v>1973.8230900000001</v>
      </c>
      <c r="S24" s="506">
        <v>6003.5724299999993</v>
      </c>
      <c r="T24" s="506">
        <v>0</v>
      </c>
      <c r="U24" s="506">
        <v>0</v>
      </c>
      <c r="V24" s="506">
        <v>0</v>
      </c>
      <c r="W24" s="506">
        <v>0</v>
      </c>
      <c r="X24" s="506">
        <v>0</v>
      </c>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row>
    <row r="25" spans="2:73" s="66" customFormat="1">
      <c r="B25" s="636"/>
      <c r="C25" s="637"/>
      <c r="D25" s="638"/>
      <c r="E25" s="639" t="s">
        <v>97</v>
      </c>
      <c r="F25" s="639" t="s">
        <v>322</v>
      </c>
      <c r="G25" s="639"/>
      <c r="H25" s="481">
        <v>10424</v>
      </c>
      <c r="I25" s="482">
        <v>0</v>
      </c>
      <c r="J25" s="508">
        <v>0</v>
      </c>
      <c r="K25" s="508">
        <v>0</v>
      </c>
      <c r="L25" s="508">
        <v>0</v>
      </c>
      <c r="M25" s="508">
        <v>0</v>
      </c>
      <c r="N25" s="508">
        <v>0</v>
      </c>
      <c r="O25" s="508">
        <v>0</v>
      </c>
      <c r="P25" s="508">
        <v>0</v>
      </c>
      <c r="Q25" s="508">
        <v>0</v>
      </c>
      <c r="R25" s="508">
        <v>0</v>
      </c>
      <c r="S25" s="508">
        <v>0</v>
      </c>
      <c r="T25" s="508">
        <v>0</v>
      </c>
      <c r="U25" s="508">
        <v>0</v>
      </c>
      <c r="V25" s="508">
        <v>0</v>
      </c>
      <c r="W25" s="508">
        <v>0</v>
      </c>
      <c r="X25" s="508">
        <v>0</v>
      </c>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row>
    <row r="26" spans="2:73" s="66" customFormat="1" ht="15.75" thickBot="1">
      <c r="B26" s="886"/>
      <c r="C26" s="887"/>
      <c r="D26" s="888" t="s">
        <v>100</v>
      </c>
      <c r="E26" s="888" t="s">
        <v>101</v>
      </c>
      <c r="F26" s="888"/>
      <c r="G26" s="888"/>
      <c r="H26" s="889">
        <v>10490</v>
      </c>
      <c r="I26" s="890">
        <v>0</v>
      </c>
      <c r="J26" s="891"/>
      <c r="K26" s="891"/>
      <c r="L26" s="891"/>
      <c r="M26" s="891"/>
      <c r="N26" s="891"/>
      <c r="O26" s="891"/>
      <c r="P26" s="891"/>
      <c r="Q26" s="891"/>
      <c r="R26" s="891"/>
      <c r="S26" s="891"/>
      <c r="T26" s="891"/>
      <c r="U26" s="891"/>
      <c r="V26" s="891"/>
      <c r="W26" s="891"/>
      <c r="X26" s="891"/>
      <c r="Y26" s="56"/>
      <c r="Z26" s="57"/>
      <c r="AA26" s="58"/>
      <c r="AB26" s="58"/>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row>
    <row r="27" spans="2:73" s="66" customFormat="1">
      <c r="B27" s="623"/>
      <c r="C27" s="624" t="s">
        <v>105</v>
      </c>
      <c r="D27" s="626" t="s">
        <v>106</v>
      </c>
      <c r="E27" s="626"/>
      <c r="F27" s="626"/>
      <c r="G27" s="626"/>
      <c r="H27" s="500">
        <v>10500</v>
      </c>
      <c r="I27" s="501">
        <v>402770</v>
      </c>
      <c r="J27" s="505">
        <v>0</v>
      </c>
      <c r="K27" s="505">
        <v>0</v>
      </c>
      <c r="L27" s="505">
        <v>1503.5869883513431</v>
      </c>
      <c r="M27" s="505">
        <v>7809.6531290151288</v>
      </c>
      <c r="N27" s="505">
        <v>57021.39648512812</v>
      </c>
      <c r="O27" s="505">
        <v>13909.532263044148</v>
      </c>
      <c r="P27" s="505">
        <v>56199.232108675518</v>
      </c>
      <c r="Q27" s="505">
        <v>169643.28306000002</v>
      </c>
      <c r="R27" s="505">
        <v>549.22735412164252</v>
      </c>
      <c r="S27" s="505">
        <v>276.23860450756411</v>
      </c>
      <c r="T27" s="505">
        <v>18247.468354430381</v>
      </c>
      <c r="U27" s="505">
        <v>77609.955419999998</v>
      </c>
      <c r="V27" s="505">
        <v>0</v>
      </c>
      <c r="W27" s="505">
        <v>0</v>
      </c>
      <c r="X27" s="505">
        <v>0</v>
      </c>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row>
    <row r="28" spans="2:73" s="66" customFormat="1">
      <c r="B28" s="874"/>
      <c r="C28" s="875"/>
      <c r="D28" s="876" t="s">
        <v>84</v>
      </c>
      <c r="E28" s="892" t="s">
        <v>108</v>
      </c>
      <c r="F28" s="893"/>
      <c r="G28" s="893"/>
      <c r="H28" s="877">
        <v>10500</v>
      </c>
      <c r="I28" s="878">
        <v>402770</v>
      </c>
      <c r="J28" s="894">
        <v>0</v>
      </c>
      <c r="K28" s="894">
        <v>0</v>
      </c>
      <c r="L28" s="894">
        <v>1503.5869883513431</v>
      </c>
      <c r="M28" s="894">
        <v>7809.6531290151288</v>
      </c>
      <c r="N28" s="894">
        <v>57021.39648512812</v>
      </c>
      <c r="O28" s="894">
        <v>13909.532263044148</v>
      </c>
      <c r="P28" s="894">
        <v>56199.232108675518</v>
      </c>
      <c r="Q28" s="894">
        <v>169643.28306000002</v>
      </c>
      <c r="R28" s="894">
        <v>549.22735412164252</v>
      </c>
      <c r="S28" s="894">
        <v>276.23860450756411</v>
      </c>
      <c r="T28" s="894">
        <v>18247.468354430381</v>
      </c>
      <c r="U28" s="894">
        <v>77609.955419999998</v>
      </c>
      <c r="V28" s="894">
        <v>0</v>
      </c>
      <c r="W28" s="894">
        <v>0</v>
      </c>
      <c r="X28" s="894">
        <v>0</v>
      </c>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row>
    <row r="29" spans="2:73" s="66" customFormat="1" ht="15" customHeight="1" thickBot="1">
      <c r="B29" s="886"/>
      <c r="C29" s="887"/>
      <c r="D29" s="888" t="s">
        <v>100</v>
      </c>
      <c r="E29" s="895" t="s">
        <v>112</v>
      </c>
      <c r="F29" s="895"/>
      <c r="G29" s="895"/>
      <c r="H29" s="889">
        <v>10520</v>
      </c>
      <c r="I29" s="890">
        <v>0</v>
      </c>
      <c r="J29" s="894"/>
      <c r="K29" s="894"/>
      <c r="L29" s="894"/>
      <c r="M29" s="894"/>
      <c r="N29" s="894"/>
      <c r="O29" s="894"/>
      <c r="P29" s="894"/>
      <c r="Q29" s="894"/>
      <c r="R29" s="894"/>
      <c r="S29" s="894"/>
      <c r="T29" s="894"/>
      <c r="U29" s="894"/>
      <c r="V29" s="894"/>
      <c r="W29" s="894"/>
      <c r="X29" s="894"/>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row>
    <row r="30" spans="2:73" s="66" customFormat="1">
      <c r="B30" s="623"/>
      <c r="C30" s="624" t="s">
        <v>116</v>
      </c>
      <c r="D30" s="626" t="s">
        <v>117</v>
      </c>
      <c r="E30" s="640"/>
      <c r="F30" s="640"/>
      <c r="G30" s="640"/>
      <c r="H30" s="500">
        <v>10700</v>
      </c>
      <c r="I30" s="501">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row>
    <row r="31" spans="2:73" s="66" customFormat="1" ht="15.75" thickBot="1">
      <c r="B31" s="880"/>
      <c r="C31" s="881"/>
      <c r="D31" s="896" t="s">
        <v>84</v>
      </c>
      <c r="E31" s="895" t="s">
        <v>323</v>
      </c>
      <c r="F31" s="897"/>
      <c r="G31" s="897"/>
      <c r="H31" s="877">
        <v>10710</v>
      </c>
      <c r="I31" s="878">
        <v>0</v>
      </c>
      <c r="J31" s="894">
        <v>0</v>
      </c>
      <c r="K31" s="894">
        <v>0</v>
      </c>
      <c r="L31" s="894">
        <v>0</v>
      </c>
      <c r="M31" s="894">
        <v>0</v>
      </c>
      <c r="N31" s="894">
        <v>0</v>
      </c>
      <c r="O31" s="894">
        <v>0</v>
      </c>
      <c r="P31" s="894">
        <v>0</v>
      </c>
      <c r="Q31" s="894">
        <v>0</v>
      </c>
      <c r="R31" s="894">
        <v>0</v>
      </c>
      <c r="S31" s="894">
        <v>0</v>
      </c>
      <c r="T31" s="894">
        <v>0</v>
      </c>
      <c r="U31" s="894">
        <v>0</v>
      </c>
      <c r="V31" s="894">
        <v>0</v>
      </c>
      <c r="W31" s="894">
        <v>0</v>
      </c>
      <c r="X31" s="894">
        <v>0</v>
      </c>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row>
    <row r="32" spans="2:73" s="66" customFormat="1" ht="15.75" thickBot="1">
      <c r="B32" s="886"/>
      <c r="C32" s="887"/>
      <c r="D32" s="888" t="s">
        <v>100</v>
      </c>
      <c r="E32" s="895" t="s">
        <v>101</v>
      </c>
      <c r="F32" s="895"/>
      <c r="G32" s="895"/>
      <c r="H32" s="889">
        <v>10790</v>
      </c>
      <c r="I32" s="890">
        <v>0</v>
      </c>
      <c r="J32" s="894">
        <v>0</v>
      </c>
      <c r="K32" s="894">
        <v>0</v>
      </c>
      <c r="L32" s="894">
        <v>0</v>
      </c>
      <c r="M32" s="894">
        <v>0</v>
      </c>
      <c r="N32" s="894">
        <v>0</v>
      </c>
      <c r="O32" s="894">
        <v>0</v>
      </c>
      <c r="P32" s="894">
        <v>0</v>
      </c>
      <c r="Q32" s="894">
        <v>0</v>
      </c>
      <c r="R32" s="894">
        <v>0</v>
      </c>
      <c r="S32" s="894">
        <v>0</v>
      </c>
      <c r="T32" s="894">
        <v>0</v>
      </c>
      <c r="U32" s="894">
        <v>0</v>
      </c>
      <c r="V32" s="894">
        <v>0</v>
      </c>
      <c r="W32" s="894">
        <v>0</v>
      </c>
      <c r="X32" s="894">
        <v>0</v>
      </c>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row>
    <row r="33" spans="2:73" s="66" customFormat="1" ht="15.75" thickBot="1">
      <c r="B33" s="641"/>
      <c r="C33" s="642" t="s">
        <v>124</v>
      </c>
      <c r="D33" s="734" t="s">
        <v>249</v>
      </c>
      <c r="E33" s="643"/>
      <c r="F33" s="643"/>
      <c r="G33" s="643"/>
      <c r="H33" s="504">
        <v>10600</v>
      </c>
      <c r="I33" s="510">
        <v>-2698</v>
      </c>
      <c r="J33" s="511">
        <v>0</v>
      </c>
      <c r="K33" s="511">
        <v>0</v>
      </c>
      <c r="L33" s="511">
        <v>0</v>
      </c>
      <c r="M33" s="511">
        <v>0</v>
      </c>
      <c r="N33" s="511">
        <v>0</v>
      </c>
      <c r="O33" s="511">
        <v>0</v>
      </c>
      <c r="P33" s="511">
        <v>-2697.6684285273227</v>
      </c>
      <c r="Q33" s="511">
        <v>0</v>
      </c>
      <c r="R33" s="511">
        <v>0</v>
      </c>
      <c r="S33" s="511">
        <v>0</v>
      </c>
      <c r="T33" s="511">
        <v>0</v>
      </c>
      <c r="U33" s="511">
        <v>0</v>
      </c>
      <c r="V33" s="511">
        <v>0</v>
      </c>
      <c r="W33" s="511">
        <v>0</v>
      </c>
      <c r="X33" s="511">
        <v>0</v>
      </c>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row>
    <row r="34" spans="2:73" s="66" customFormat="1">
      <c r="B34" s="644"/>
      <c r="C34" s="645"/>
      <c r="D34" s="645"/>
      <c r="E34" s="645"/>
      <c r="F34" s="645"/>
      <c r="G34" s="645"/>
      <c r="H34" s="646"/>
      <c r="I34" s="647"/>
      <c r="J34" s="648"/>
      <c r="K34" s="648"/>
      <c r="L34" s="648"/>
      <c r="M34" s="648"/>
      <c r="N34" s="648"/>
      <c r="O34" s="648"/>
      <c r="P34" s="649"/>
      <c r="Q34" s="650"/>
      <c r="R34" s="650"/>
      <c r="S34" s="650"/>
      <c r="T34" s="650"/>
      <c r="U34" s="650"/>
      <c r="V34" s="650"/>
      <c r="W34" s="650"/>
      <c r="X34" s="651"/>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row>
    <row r="35" spans="2:73" s="66" customFormat="1">
      <c r="B35" s="636"/>
      <c r="C35" s="638"/>
      <c r="D35" s="638"/>
      <c r="E35" s="638"/>
      <c r="F35" s="638"/>
      <c r="G35" s="652"/>
      <c r="H35" s="653"/>
      <c r="I35" s="654"/>
      <c r="J35" s="655">
        <v>46210</v>
      </c>
      <c r="K35" s="655">
        <v>46217</v>
      </c>
      <c r="L35" s="655">
        <v>46234</v>
      </c>
      <c r="M35" s="655">
        <v>46295</v>
      </c>
      <c r="N35" s="655">
        <v>46387</v>
      </c>
      <c r="O35" s="655">
        <v>46568</v>
      </c>
      <c r="P35" s="655">
        <v>46934</v>
      </c>
      <c r="Q35" s="638"/>
      <c r="R35" s="638"/>
      <c r="S35" s="638"/>
      <c r="T35" s="638"/>
      <c r="U35" s="638"/>
      <c r="V35" s="638"/>
      <c r="W35" s="638"/>
      <c r="X35" s="6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row>
    <row r="36" spans="2:73" s="66" customFormat="1">
      <c r="B36" s="898" t="s">
        <v>128</v>
      </c>
      <c r="C36" s="899" t="s">
        <v>4</v>
      </c>
      <c r="D36" s="900"/>
      <c r="E36" s="900"/>
      <c r="F36" s="900"/>
      <c r="G36" s="900"/>
      <c r="H36" s="901">
        <v>20000</v>
      </c>
      <c r="I36" s="902">
        <v>1021395.9959590645</v>
      </c>
      <c r="J36" s="903">
        <v>467394</v>
      </c>
      <c r="K36" s="903">
        <v>0</v>
      </c>
      <c r="L36" s="903">
        <v>9312</v>
      </c>
      <c r="M36" s="903">
        <v>174203</v>
      </c>
      <c r="N36" s="903">
        <v>256175</v>
      </c>
      <c r="O36" s="903">
        <v>46329</v>
      </c>
      <c r="P36" s="903">
        <v>67982</v>
      </c>
      <c r="Q36" s="903">
        <v>0</v>
      </c>
      <c r="R36" s="903">
        <v>0</v>
      </c>
      <c r="S36" s="903">
        <v>0</v>
      </c>
      <c r="T36" s="903">
        <v>0</v>
      </c>
      <c r="U36" s="903">
        <v>0</v>
      </c>
      <c r="V36" s="903">
        <v>0</v>
      </c>
      <c r="W36" s="903">
        <v>0</v>
      </c>
      <c r="X36" s="903">
        <v>0</v>
      </c>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row>
    <row r="37" spans="2:73" s="66" customFormat="1">
      <c r="B37" s="904"/>
      <c r="C37" s="905" t="s">
        <v>66</v>
      </c>
      <c r="D37" s="906" t="s">
        <v>129</v>
      </c>
      <c r="E37" s="906"/>
      <c r="F37" s="906"/>
      <c r="G37" s="906"/>
      <c r="H37" s="901">
        <v>20100</v>
      </c>
      <c r="I37" s="902">
        <v>497347</v>
      </c>
      <c r="J37" s="907">
        <v>461288.28642790986</v>
      </c>
      <c r="K37" s="907">
        <v>0</v>
      </c>
      <c r="L37" s="907">
        <v>6224.7452917567152</v>
      </c>
      <c r="M37" s="907">
        <v>11115.587405162089</v>
      </c>
      <c r="N37" s="907">
        <v>0</v>
      </c>
      <c r="O37" s="907">
        <v>6369.1065174035193</v>
      </c>
      <c r="P37" s="908">
        <v>12349.49058351343</v>
      </c>
      <c r="Q37" s="908">
        <v>0</v>
      </c>
      <c r="R37" s="908">
        <v>0</v>
      </c>
      <c r="S37" s="908">
        <v>0</v>
      </c>
      <c r="T37" s="908">
        <v>0</v>
      </c>
      <c r="U37" s="908">
        <v>0</v>
      </c>
      <c r="V37" s="908">
        <v>0</v>
      </c>
      <c r="W37" s="908">
        <v>0</v>
      </c>
      <c r="X37" s="908">
        <v>0</v>
      </c>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row>
    <row r="38" spans="2:73" s="66" customFormat="1">
      <c r="B38" s="874"/>
      <c r="C38" s="875"/>
      <c r="D38" s="876" t="s">
        <v>84</v>
      </c>
      <c r="E38" s="909" t="s">
        <v>131</v>
      </c>
      <c r="F38" s="876"/>
      <c r="G38" s="876"/>
      <c r="H38" s="877">
        <v>20110</v>
      </c>
      <c r="I38" s="878">
        <v>90253.110441494297</v>
      </c>
      <c r="J38" s="910">
        <v>90253.110441494297</v>
      </c>
      <c r="K38" s="910"/>
      <c r="L38" s="910"/>
      <c r="M38" s="910">
        <v>0</v>
      </c>
      <c r="N38" s="910">
        <v>0</v>
      </c>
      <c r="O38" s="894">
        <v>0</v>
      </c>
      <c r="P38" s="894">
        <v>0</v>
      </c>
      <c r="Q38" s="894">
        <v>0</v>
      </c>
      <c r="R38" s="894">
        <v>0</v>
      </c>
      <c r="S38" s="894">
        <v>0</v>
      </c>
      <c r="T38" s="894">
        <v>0</v>
      </c>
      <c r="U38" s="894">
        <v>0</v>
      </c>
      <c r="V38" s="894">
        <v>0</v>
      </c>
      <c r="W38" s="894">
        <v>0</v>
      </c>
      <c r="X38" s="894">
        <v>0</v>
      </c>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row>
    <row r="39" spans="2:73" s="66" customFormat="1">
      <c r="B39" s="874"/>
      <c r="C39" s="875"/>
      <c r="D39" s="876" t="s">
        <v>100</v>
      </c>
      <c r="E39" s="909" t="s">
        <v>134</v>
      </c>
      <c r="F39" s="876"/>
      <c r="G39" s="876"/>
      <c r="H39" s="877">
        <v>20120</v>
      </c>
      <c r="I39" s="878">
        <v>371035.17598641553</v>
      </c>
      <c r="J39" s="911">
        <v>371035.17598641553</v>
      </c>
      <c r="K39" s="1107">
        <v>0</v>
      </c>
      <c r="L39" s="1107">
        <v>0</v>
      </c>
      <c r="M39" s="1107">
        <v>0</v>
      </c>
      <c r="N39" s="1107">
        <v>0</v>
      </c>
      <c r="O39" s="1108">
        <v>0</v>
      </c>
      <c r="P39" s="1108">
        <v>0</v>
      </c>
      <c r="Q39" s="1108">
        <v>0</v>
      </c>
      <c r="R39" s="1108">
        <v>0</v>
      </c>
      <c r="S39" s="1108">
        <v>0</v>
      </c>
      <c r="T39" s="1108">
        <v>0</v>
      </c>
      <c r="U39" s="1108">
        <v>0</v>
      </c>
      <c r="V39" s="1108">
        <v>0</v>
      </c>
      <c r="W39" s="1108">
        <v>0</v>
      </c>
      <c r="X39" s="1108">
        <v>0</v>
      </c>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row>
    <row r="40" spans="2:73" s="66" customFormat="1">
      <c r="B40" s="874"/>
      <c r="C40" s="875"/>
      <c r="D40" s="876" t="s">
        <v>137</v>
      </c>
      <c r="E40" s="876" t="s">
        <v>138</v>
      </c>
      <c r="F40" s="876"/>
      <c r="G40" s="876"/>
      <c r="H40" s="877">
        <v>20130</v>
      </c>
      <c r="I40" s="878">
        <v>36058.92979783575</v>
      </c>
      <c r="J40" s="912">
        <v>0</v>
      </c>
      <c r="K40" s="912">
        <v>0</v>
      </c>
      <c r="L40" s="912">
        <v>6224.7452917567152</v>
      </c>
      <c r="M40" s="912">
        <v>11115.587405162089</v>
      </c>
      <c r="N40" s="912">
        <v>0</v>
      </c>
      <c r="O40" s="879">
        <v>6369.1065174035193</v>
      </c>
      <c r="P40" s="879">
        <v>12349.49058351343</v>
      </c>
      <c r="Q40" s="879">
        <v>0</v>
      </c>
      <c r="R40" s="879">
        <v>0</v>
      </c>
      <c r="S40" s="879">
        <v>0</v>
      </c>
      <c r="T40" s="879">
        <v>0</v>
      </c>
      <c r="U40" s="879">
        <v>0</v>
      </c>
      <c r="V40" s="879">
        <v>0</v>
      </c>
      <c r="W40" s="879">
        <v>0</v>
      </c>
      <c r="X40" s="879">
        <v>0</v>
      </c>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row>
    <row r="41" spans="2:73" s="66" customFormat="1">
      <c r="B41" s="874"/>
      <c r="C41" s="875"/>
      <c r="D41" s="876"/>
      <c r="E41" s="876" t="s">
        <v>87</v>
      </c>
      <c r="F41" s="876" t="s">
        <v>324</v>
      </c>
      <c r="G41" s="876"/>
      <c r="H41" s="877">
        <v>20131</v>
      </c>
      <c r="I41" s="878">
        <v>0</v>
      </c>
      <c r="J41" s="910"/>
      <c r="K41" s="910">
        <v>0</v>
      </c>
      <c r="L41" s="910">
        <v>0</v>
      </c>
      <c r="M41" s="910">
        <v>0</v>
      </c>
      <c r="N41" s="910">
        <v>0</v>
      </c>
      <c r="O41" s="894">
        <v>0</v>
      </c>
      <c r="P41" s="894"/>
      <c r="Q41" s="894">
        <v>0</v>
      </c>
      <c r="R41" s="894">
        <v>0</v>
      </c>
      <c r="S41" s="894">
        <v>0</v>
      </c>
      <c r="T41" s="894">
        <v>0</v>
      </c>
      <c r="U41" s="894">
        <v>0</v>
      </c>
      <c r="V41" s="894">
        <v>0</v>
      </c>
      <c r="W41" s="894">
        <v>0</v>
      </c>
      <c r="X41" s="894">
        <v>0</v>
      </c>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row>
    <row r="42" spans="2:73" s="66" customFormat="1">
      <c r="B42" s="874"/>
      <c r="C42" s="875"/>
      <c r="D42" s="876"/>
      <c r="E42" s="876" t="s">
        <v>90</v>
      </c>
      <c r="F42" s="913" t="s">
        <v>142</v>
      </c>
      <c r="G42" s="913"/>
      <c r="H42" s="877">
        <v>20132</v>
      </c>
      <c r="I42" s="878">
        <v>36058.92979783575</v>
      </c>
      <c r="J42" s="911">
        <v>0</v>
      </c>
      <c r="K42" s="911">
        <v>0</v>
      </c>
      <c r="L42" s="911">
        <v>6224.7452917567152</v>
      </c>
      <c r="M42" s="911">
        <v>11115.587405162089</v>
      </c>
      <c r="N42" s="911">
        <v>0</v>
      </c>
      <c r="O42" s="911">
        <v>6369.1065174035193</v>
      </c>
      <c r="P42" s="911">
        <v>12349.49058351343</v>
      </c>
      <c r="Q42" s="911">
        <v>0</v>
      </c>
      <c r="R42" s="911">
        <v>0</v>
      </c>
      <c r="S42" s="911">
        <v>0</v>
      </c>
      <c r="T42" s="911">
        <v>0</v>
      </c>
      <c r="U42" s="911">
        <v>0</v>
      </c>
      <c r="V42" s="911">
        <v>0</v>
      </c>
      <c r="W42" s="911">
        <v>0</v>
      </c>
      <c r="X42" s="914"/>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row>
    <row r="43" spans="2:73" s="66" customFormat="1">
      <c r="B43" s="874"/>
      <c r="C43" s="875"/>
      <c r="D43" s="876"/>
      <c r="E43" s="876" t="s">
        <v>93</v>
      </c>
      <c r="F43" s="876" t="s">
        <v>101</v>
      </c>
      <c r="G43" s="876"/>
      <c r="H43" s="877">
        <v>20139</v>
      </c>
      <c r="I43" s="878">
        <v>0</v>
      </c>
      <c r="J43" s="910">
        <v>0</v>
      </c>
      <c r="K43" s="910">
        <v>0</v>
      </c>
      <c r="L43" s="910">
        <v>0</v>
      </c>
      <c r="M43" s="910">
        <v>0</v>
      </c>
      <c r="N43" s="910">
        <v>0</v>
      </c>
      <c r="O43" s="894">
        <v>0</v>
      </c>
      <c r="P43" s="894">
        <v>0</v>
      </c>
      <c r="Q43" s="894">
        <v>0</v>
      </c>
      <c r="R43" s="894">
        <v>0</v>
      </c>
      <c r="S43" s="894">
        <v>0</v>
      </c>
      <c r="T43" s="894">
        <v>0</v>
      </c>
      <c r="U43" s="894">
        <v>0</v>
      </c>
      <c r="V43" s="894">
        <v>0</v>
      </c>
      <c r="W43" s="894">
        <v>0</v>
      </c>
      <c r="X43" s="894">
        <v>0</v>
      </c>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row>
    <row r="44" spans="2:73" s="66" customFormat="1">
      <c r="B44" s="904"/>
      <c r="C44" s="905" t="s">
        <v>73</v>
      </c>
      <c r="D44" s="909" t="s">
        <v>147</v>
      </c>
      <c r="E44" s="909"/>
      <c r="F44" s="909"/>
      <c r="G44" s="909"/>
      <c r="H44" s="901">
        <v>20200</v>
      </c>
      <c r="I44" s="902">
        <v>6106.0706020376665</v>
      </c>
      <c r="J44" s="910">
        <v>6106.0706020376665</v>
      </c>
      <c r="K44" s="910"/>
      <c r="L44" s="910"/>
      <c r="M44" s="910"/>
      <c r="N44" s="910"/>
      <c r="O44" s="894"/>
      <c r="P44" s="894">
        <v>0</v>
      </c>
      <c r="Q44" s="894">
        <v>0</v>
      </c>
      <c r="R44" s="894">
        <v>0</v>
      </c>
      <c r="S44" s="894">
        <v>0</v>
      </c>
      <c r="T44" s="894">
        <v>0</v>
      </c>
      <c r="U44" s="894">
        <v>0</v>
      </c>
      <c r="V44" s="894">
        <v>0</v>
      </c>
      <c r="W44" s="894">
        <v>0</v>
      </c>
      <c r="X44" s="894">
        <v>0</v>
      </c>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row>
    <row r="45" spans="2:73" s="66" customFormat="1">
      <c r="B45" s="904"/>
      <c r="C45" s="905" t="s">
        <v>77</v>
      </c>
      <c r="D45" s="915" t="s">
        <v>325</v>
      </c>
      <c r="E45" s="915"/>
      <c r="F45" s="915"/>
      <c r="G45" s="915"/>
      <c r="H45" s="901">
        <v>20300</v>
      </c>
      <c r="I45" s="902">
        <v>490331.92535702686</v>
      </c>
      <c r="J45" s="910">
        <v>0</v>
      </c>
      <c r="K45" s="910">
        <v>0</v>
      </c>
      <c r="L45" s="910">
        <v>3087.3726458783576</v>
      </c>
      <c r="M45" s="910">
        <v>163087.37264587835</v>
      </c>
      <c r="N45" s="910">
        <v>256174.74529175673</v>
      </c>
      <c r="O45" s="910">
        <v>12349.49058351343</v>
      </c>
      <c r="P45" s="910">
        <v>55632.944189999995</v>
      </c>
      <c r="Q45" s="910">
        <v>0</v>
      </c>
      <c r="R45" s="910">
        <v>0</v>
      </c>
      <c r="S45" s="910">
        <v>0</v>
      </c>
      <c r="T45" s="910">
        <v>0</v>
      </c>
      <c r="U45" s="910">
        <v>0</v>
      </c>
      <c r="V45" s="910">
        <v>0</v>
      </c>
      <c r="W45" s="910">
        <v>0</v>
      </c>
      <c r="X45" s="910">
        <v>0</v>
      </c>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row>
    <row r="46" spans="2:73" s="66" customFormat="1">
      <c r="B46" s="904"/>
      <c r="C46" s="905" t="s">
        <v>77</v>
      </c>
      <c r="D46" s="906" t="s">
        <v>326</v>
      </c>
      <c r="E46" s="906"/>
      <c r="F46" s="906"/>
      <c r="G46" s="906"/>
      <c r="H46" s="901">
        <v>20300</v>
      </c>
      <c r="I46" s="902">
        <v>0</v>
      </c>
      <c r="J46" s="910">
        <v>0</v>
      </c>
      <c r="K46" s="910">
        <v>0</v>
      </c>
      <c r="L46" s="910">
        <v>0</v>
      </c>
      <c r="M46" s="910">
        <v>0</v>
      </c>
      <c r="N46" s="910">
        <v>0</v>
      </c>
      <c r="O46" s="910">
        <v>0</v>
      </c>
      <c r="P46" s="910">
        <v>0</v>
      </c>
      <c r="Q46" s="910">
        <v>0</v>
      </c>
      <c r="R46" s="910">
        <v>0</v>
      </c>
      <c r="S46" s="910">
        <v>0</v>
      </c>
      <c r="T46" s="910">
        <v>0</v>
      </c>
      <c r="U46" s="910">
        <v>0</v>
      </c>
      <c r="V46" s="910">
        <v>0</v>
      </c>
      <c r="W46" s="910">
        <v>0</v>
      </c>
      <c r="X46" s="910">
        <v>0</v>
      </c>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row>
    <row r="47" spans="2:73" s="66" customFormat="1">
      <c r="B47" s="904"/>
      <c r="C47" s="905" t="s">
        <v>81</v>
      </c>
      <c r="D47" s="906" t="s">
        <v>153</v>
      </c>
      <c r="E47" s="906"/>
      <c r="F47" s="906"/>
      <c r="G47" s="906"/>
      <c r="H47" s="901">
        <v>20400</v>
      </c>
      <c r="I47" s="902">
        <v>0</v>
      </c>
      <c r="J47" s="916">
        <v>0</v>
      </c>
      <c r="K47" s="916">
        <v>0</v>
      </c>
      <c r="L47" s="916">
        <v>0</v>
      </c>
      <c r="M47" s="916">
        <v>0</v>
      </c>
      <c r="N47" s="916">
        <v>0</v>
      </c>
      <c r="O47" s="907">
        <v>0</v>
      </c>
      <c r="P47" s="907">
        <v>0</v>
      </c>
      <c r="Q47" s="907">
        <v>0</v>
      </c>
      <c r="R47" s="907">
        <v>0</v>
      </c>
      <c r="S47" s="907">
        <v>0</v>
      </c>
      <c r="T47" s="907">
        <v>0</v>
      </c>
      <c r="U47" s="907">
        <v>0</v>
      </c>
      <c r="V47" s="907">
        <v>0</v>
      </c>
      <c r="W47" s="907">
        <v>0</v>
      </c>
      <c r="X47" s="907">
        <v>0</v>
      </c>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row>
    <row r="48" spans="2:73" s="66" customFormat="1">
      <c r="B48" s="874"/>
      <c r="C48" s="875"/>
      <c r="D48" s="876" t="s">
        <v>84</v>
      </c>
      <c r="E48" s="876" t="s">
        <v>155</v>
      </c>
      <c r="F48" s="876"/>
      <c r="G48" s="876"/>
      <c r="H48" s="877">
        <v>20410</v>
      </c>
      <c r="I48" s="878">
        <v>0</v>
      </c>
      <c r="J48" s="910">
        <v>0</v>
      </c>
      <c r="K48" s="910">
        <v>0</v>
      </c>
      <c r="L48" s="910">
        <v>0</v>
      </c>
      <c r="M48" s="910">
        <v>0</v>
      </c>
      <c r="N48" s="910">
        <v>0</v>
      </c>
      <c r="O48" s="894">
        <v>0</v>
      </c>
      <c r="P48" s="894">
        <v>0</v>
      </c>
      <c r="Q48" s="894">
        <v>0</v>
      </c>
      <c r="R48" s="894">
        <v>0</v>
      </c>
      <c r="S48" s="894">
        <v>0</v>
      </c>
      <c r="T48" s="894">
        <v>0</v>
      </c>
      <c r="U48" s="894">
        <v>0</v>
      </c>
      <c r="V48" s="894">
        <v>0</v>
      </c>
      <c r="W48" s="894">
        <v>0</v>
      </c>
      <c r="X48" s="894">
        <v>0</v>
      </c>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row>
    <row r="49" spans="2:73" s="66" customFormat="1" ht="15" customHeight="1">
      <c r="B49" s="874"/>
      <c r="C49" s="875"/>
      <c r="D49" s="876" t="s">
        <v>100</v>
      </c>
      <c r="E49" s="876" t="s">
        <v>157</v>
      </c>
      <c r="F49" s="876"/>
      <c r="G49" s="876"/>
      <c r="H49" s="877">
        <v>20420</v>
      </c>
      <c r="I49" s="878">
        <v>0</v>
      </c>
      <c r="J49" s="910">
        <v>0</v>
      </c>
      <c r="K49" s="910">
        <v>0</v>
      </c>
      <c r="L49" s="910">
        <v>0</v>
      </c>
      <c r="M49" s="910">
        <v>0</v>
      </c>
      <c r="N49" s="910">
        <v>0</v>
      </c>
      <c r="O49" s="894">
        <v>0</v>
      </c>
      <c r="P49" s="894">
        <v>0</v>
      </c>
      <c r="Q49" s="894">
        <v>0</v>
      </c>
      <c r="R49" s="894">
        <v>0</v>
      </c>
      <c r="S49" s="894">
        <v>0</v>
      </c>
      <c r="T49" s="894">
        <v>0</v>
      </c>
      <c r="U49" s="894">
        <v>0</v>
      </c>
      <c r="V49" s="894">
        <v>0</v>
      </c>
      <c r="W49" s="894">
        <v>0</v>
      </c>
      <c r="X49" s="894">
        <v>0</v>
      </c>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row>
    <row r="50" spans="2:73" s="66" customFormat="1">
      <c r="B50" s="874"/>
      <c r="C50" s="875"/>
      <c r="D50" s="876" t="s">
        <v>137</v>
      </c>
      <c r="E50" s="876" t="s">
        <v>101</v>
      </c>
      <c r="F50" s="876"/>
      <c r="G50" s="876"/>
      <c r="H50" s="877">
        <v>20490</v>
      </c>
      <c r="I50" s="878">
        <v>0</v>
      </c>
      <c r="J50" s="910">
        <v>0</v>
      </c>
      <c r="K50" s="910">
        <v>0</v>
      </c>
      <c r="L50" s="910">
        <v>0</v>
      </c>
      <c r="M50" s="910">
        <v>0</v>
      </c>
      <c r="N50" s="910">
        <v>0</v>
      </c>
      <c r="O50" s="894">
        <v>0</v>
      </c>
      <c r="P50" s="894">
        <v>0</v>
      </c>
      <c r="Q50" s="894">
        <v>0</v>
      </c>
      <c r="R50" s="894">
        <v>0</v>
      </c>
      <c r="S50" s="894">
        <v>0</v>
      </c>
      <c r="T50" s="894">
        <v>0</v>
      </c>
      <c r="U50" s="894">
        <v>0</v>
      </c>
      <c r="V50" s="894">
        <v>0</v>
      </c>
      <c r="W50" s="894">
        <v>0</v>
      </c>
      <c r="X50" s="894">
        <v>0</v>
      </c>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row>
    <row r="51" spans="2:73" s="66" customFormat="1">
      <c r="B51" s="904"/>
      <c r="C51" s="905" t="s">
        <v>105</v>
      </c>
      <c r="D51" s="906" t="s">
        <v>160</v>
      </c>
      <c r="E51" s="906"/>
      <c r="F51" s="906"/>
      <c r="G51" s="906"/>
      <c r="H51" s="901">
        <v>20500</v>
      </c>
      <c r="I51" s="902">
        <v>0</v>
      </c>
      <c r="J51" s="916">
        <v>0</v>
      </c>
      <c r="K51" s="916">
        <v>0</v>
      </c>
      <c r="L51" s="916">
        <v>0</v>
      </c>
      <c r="M51" s="916">
        <v>0</v>
      </c>
      <c r="N51" s="916">
        <v>0</v>
      </c>
      <c r="O51" s="907">
        <v>0</v>
      </c>
      <c r="P51" s="907">
        <v>0</v>
      </c>
      <c r="Q51" s="907">
        <v>0</v>
      </c>
      <c r="R51" s="907">
        <v>0</v>
      </c>
      <c r="S51" s="907">
        <v>0</v>
      </c>
      <c r="T51" s="907">
        <v>0</v>
      </c>
      <c r="U51" s="907">
        <v>0</v>
      </c>
      <c r="V51" s="907">
        <v>0</v>
      </c>
      <c r="W51" s="907">
        <v>0</v>
      </c>
      <c r="X51" s="907">
        <v>0</v>
      </c>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row>
    <row r="52" spans="2:73" s="66" customFormat="1" ht="15" customHeight="1">
      <c r="B52" s="874"/>
      <c r="C52" s="875"/>
      <c r="D52" s="876" t="s">
        <v>84</v>
      </c>
      <c r="E52" s="876" t="s">
        <v>162</v>
      </c>
      <c r="F52" s="876"/>
      <c r="G52" s="876"/>
      <c r="H52" s="877">
        <v>20510</v>
      </c>
      <c r="I52" s="878">
        <v>0</v>
      </c>
      <c r="J52" s="917">
        <v>0</v>
      </c>
      <c r="K52" s="917">
        <v>0</v>
      </c>
      <c r="L52" s="917">
        <v>0</v>
      </c>
      <c r="M52" s="917">
        <v>0</v>
      </c>
      <c r="N52" s="917">
        <v>0</v>
      </c>
      <c r="O52" s="918">
        <v>0</v>
      </c>
      <c r="P52" s="918">
        <v>0</v>
      </c>
      <c r="Q52" s="918">
        <v>0</v>
      </c>
      <c r="R52" s="918">
        <v>0</v>
      </c>
      <c r="S52" s="918">
        <v>0</v>
      </c>
      <c r="T52" s="918">
        <v>0</v>
      </c>
      <c r="U52" s="918">
        <v>0</v>
      </c>
      <c r="V52" s="918">
        <v>0</v>
      </c>
      <c r="W52" s="918">
        <v>0</v>
      </c>
      <c r="X52" s="918">
        <v>0</v>
      </c>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row>
    <row r="53" spans="2:73" s="66" customFormat="1">
      <c r="B53" s="874"/>
      <c r="C53" s="875"/>
      <c r="D53" s="876" t="s">
        <v>100</v>
      </c>
      <c r="E53" s="876" t="s">
        <v>101</v>
      </c>
      <c r="F53" s="876"/>
      <c r="G53" s="876"/>
      <c r="H53" s="877">
        <v>20590</v>
      </c>
      <c r="I53" s="878">
        <v>0</v>
      </c>
      <c r="J53" s="917">
        <v>0</v>
      </c>
      <c r="K53" s="917">
        <v>0</v>
      </c>
      <c r="L53" s="917">
        <v>0</v>
      </c>
      <c r="M53" s="917">
        <v>0</v>
      </c>
      <c r="N53" s="917">
        <v>0</v>
      </c>
      <c r="O53" s="918">
        <v>0</v>
      </c>
      <c r="P53" s="918">
        <v>0</v>
      </c>
      <c r="Q53" s="918">
        <v>0</v>
      </c>
      <c r="R53" s="918">
        <v>0</v>
      </c>
      <c r="S53" s="918">
        <v>0</v>
      </c>
      <c r="T53" s="918">
        <v>0</v>
      </c>
      <c r="U53" s="918">
        <v>0</v>
      </c>
      <c r="V53" s="918">
        <v>0</v>
      </c>
      <c r="W53" s="918">
        <v>0</v>
      </c>
      <c r="X53" s="918">
        <v>0</v>
      </c>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row>
    <row r="54" spans="2:73" s="66" customFormat="1">
      <c r="B54" s="904"/>
      <c r="C54" s="905" t="s">
        <v>116</v>
      </c>
      <c r="D54" s="906" t="s">
        <v>167</v>
      </c>
      <c r="E54" s="906"/>
      <c r="F54" s="906"/>
      <c r="G54" s="906"/>
      <c r="H54" s="901">
        <v>20700</v>
      </c>
      <c r="I54" s="902">
        <v>27611</v>
      </c>
      <c r="J54" s="919">
        <v>0</v>
      </c>
      <c r="K54" s="919">
        <v>0</v>
      </c>
      <c r="L54" s="919">
        <v>0</v>
      </c>
      <c r="M54" s="919">
        <v>0</v>
      </c>
      <c r="N54" s="919">
        <v>0</v>
      </c>
      <c r="O54" s="920">
        <v>27610.797215189879</v>
      </c>
      <c r="P54" s="920">
        <v>0</v>
      </c>
      <c r="Q54" s="920">
        <v>0</v>
      </c>
      <c r="R54" s="920">
        <v>0</v>
      </c>
      <c r="S54" s="920">
        <v>0</v>
      </c>
      <c r="T54" s="920">
        <v>0</v>
      </c>
      <c r="U54" s="920">
        <v>0</v>
      </c>
      <c r="V54" s="920">
        <v>0</v>
      </c>
      <c r="W54" s="920">
        <v>0</v>
      </c>
      <c r="X54" s="920">
        <v>0</v>
      </c>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row>
    <row r="55" spans="2:73">
      <c r="B55" s="874"/>
      <c r="C55" s="875"/>
      <c r="D55" s="876" t="s">
        <v>84</v>
      </c>
      <c r="E55" s="1279" t="s">
        <v>170</v>
      </c>
      <c r="F55" s="1279"/>
      <c r="G55" s="1280"/>
      <c r="H55" s="877">
        <v>20710</v>
      </c>
      <c r="I55" s="878">
        <v>0</v>
      </c>
      <c r="J55" s="917">
        <v>0</v>
      </c>
      <c r="K55" s="917">
        <v>0</v>
      </c>
      <c r="L55" s="917">
        <v>0</v>
      </c>
      <c r="M55" s="917">
        <v>0</v>
      </c>
      <c r="N55" s="917">
        <v>0</v>
      </c>
      <c r="O55" s="918">
        <v>0</v>
      </c>
      <c r="P55" s="918">
        <v>0</v>
      </c>
      <c r="Q55" s="918">
        <v>0</v>
      </c>
      <c r="R55" s="918">
        <v>0</v>
      </c>
      <c r="S55" s="918">
        <v>0</v>
      </c>
      <c r="T55" s="918">
        <v>0</v>
      </c>
      <c r="U55" s="918">
        <v>0</v>
      </c>
      <c r="V55" s="918">
        <v>0</v>
      </c>
      <c r="W55" s="918">
        <v>0</v>
      </c>
      <c r="X55" s="918">
        <v>0</v>
      </c>
    </row>
    <row r="56" spans="2:73">
      <c r="B56" s="874"/>
      <c r="C56" s="875"/>
      <c r="D56" s="876" t="s">
        <v>100</v>
      </c>
      <c r="E56" s="921" t="s">
        <v>101</v>
      </c>
      <c r="F56" s="921"/>
      <c r="G56" s="876"/>
      <c r="H56" s="877">
        <v>20790</v>
      </c>
      <c r="I56" s="878">
        <v>27611</v>
      </c>
      <c r="J56" s="918"/>
      <c r="K56" s="918">
        <v>0</v>
      </c>
      <c r="L56" s="918">
        <v>0</v>
      </c>
      <c r="M56" s="918">
        <v>0</v>
      </c>
      <c r="N56" s="918">
        <v>0</v>
      </c>
      <c r="O56" s="918">
        <v>27610.797215189879</v>
      </c>
      <c r="P56" s="894"/>
      <c r="Q56" s="918">
        <v>0</v>
      </c>
      <c r="R56" s="918">
        <v>0</v>
      </c>
      <c r="S56" s="918">
        <v>0</v>
      </c>
      <c r="T56" s="918">
        <v>0</v>
      </c>
      <c r="U56" s="918">
        <v>0</v>
      </c>
      <c r="V56" s="918">
        <v>0</v>
      </c>
      <c r="W56" s="918">
        <v>0</v>
      </c>
      <c r="X56" s="918">
        <v>0</v>
      </c>
    </row>
    <row r="57" spans="2:73" ht="15.75" thickBot="1">
      <c r="B57" s="922"/>
      <c r="C57" s="923" t="s">
        <v>124</v>
      </c>
      <c r="D57" s="924" t="s">
        <v>249</v>
      </c>
      <c r="E57" s="924"/>
      <c r="F57" s="924"/>
      <c r="G57" s="924"/>
      <c r="H57" s="925">
        <v>20600</v>
      </c>
      <c r="I57" s="926">
        <v>0</v>
      </c>
      <c r="J57" s="927">
        <v>0</v>
      </c>
      <c r="K57" s="927">
        <v>0</v>
      </c>
      <c r="L57" s="927">
        <v>0</v>
      </c>
      <c r="M57" s="927">
        <v>0</v>
      </c>
      <c r="N57" s="927">
        <v>0</v>
      </c>
      <c r="O57" s="927">
        <v>0</v>
      </c>
      <c r="P57" s="927">
        <v>0</v>
      </c>
      <c r="Q57" s="927">
        <v>0</v>
      </c>
      <c r="R57" s="927">
        <v>0</v>
      </c>
      <c r="S57" s="927">
        <v>0</v>
      </c>
      <c r="T57" s="927">
        <v>0</v>
      </c>
      <c r="U57" s="927">
        <v>0</v>
      </c>
      <c r="V57" s="927">
        <v>0</v>
      </c>
      <c r="W57" s="927">
        <v>0</v>
      </c>
      <c r="X57" s="927">
        <v>0</v>
      </c>
    </row>
    <row r="58" spans="2:73" s="68" customFormat="1" ht="15.75" thickBot="1">
      <c r="B58" s="657"/>
      <c r="C58" s="658"/>
      <c r="D58" s="658"/>
      <c r="E58" s="658"/>
      <c r="F58" s="658"/>
      <c r="G58" s="658"/>
      <c r="H58" s="483"/>
      <c r="I58" s="484"/>
      <c r="J58" s="485"/>
      <c r="K58" s="485"/>
      <c r="L58" s="485"/>
      <c r="M58" s="485"/>
      <c r="N58" s="485"/>
      <c r="O58" s="485"/>
      <c r="P58" s="486"/>
      <c r="Q58" s="486"/>
      <c r="R58" s="486"/>
      <c r="S58" s="486"/>
      <c r="T58" s="486"/>
      <c r="U58" s="486"/>
      <c r="V58" s="486"/>
      <c r="W58" s="486"/>
      <c r="X58" s="651"/>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row>
    <row r="59" spans="2:73" ht="15.75" thickBot="1">
      <c r="B59" s="659" t="s">
        <v>251</v>
      </c>
      <c r="C59" s="660"/>
      <c r="D59" s="660"/>
      <c r="E59" s="660"/>
      <c r="F59" s="660"/>
      <c r="G59" s="660"/>
      <c r="H59" s="504">
        <v>30000</v>
      </c>
      <c r="I59" s="510"/>
      <c r="J59" s="512">
        <v>37870</v>
      </c>
      <c r="K59" s="512">
        <v>0</v>
      </c>
      <c r="L59" s="512">
        <v>-7808</v>
      </c>
      <c r="M59" s="512">
        <v>-166393</v>
      </c>
      <c r="N59" s="512">
        <v>-199154</v>
      </c>
      <c r="O59" s="512">
        <v>9287</v>
      </c>
      <c r="P59" s="512">
        <v>4633</v>
      </c>
      <c r="Q59" s="512">
        <v>169643</v>
      </c>
      <c r="R59" s="512">
        <v>16881</v>
      </c>
      <c r="S59" s="512">
        <v>10055</v>
      </c>
      <c r="T59" s="512">
        <v>44819</v>
      </c>
      <c r="U59" s="512">
        <v>77610</v>
      </c>
      <c r="V59" s="512">
        <v>2559</v>
      </c>
      <c r="W59" s="512">
        <v>0</v>
      </c>
      <c r="X59" s="512">
        <v>0</v>
      </c>
    </row>
    <row r="60" spans="2:73" ht="15.75" thickBot="1">
      <c r="B60" s="661"/>
      <c r="C60" s="658"/>
      <c r="D60" s="658"/>
      <c r="E60" s="658"/>
      <c r="F60" s="658"/>
      <c r="G60" s="658"/>
      <c r="H60" s="662"/>
      <c r="I60" s="513"/>
      <c r="J60" s="514"/>
      <c r="K60" s="514"/>
      <c r="L60" s="514"/>
      <c r="M60" s="514"/>
      <c r="N60" s="514"/>
      <c r="O60" s="514"/>
      <c r="P60" s="515"/>
      <c r="Q60" s="515"/>
      <c r="R60" s="515"/>
      <c r="S60" s="515"/>
      <c r="T60" s="515"/>
      <c r="U60" s="515"/>
      <c r="V60" s="515"/>
      <c r="W60" s="515"/>
      <c r="X60" s="516"/>
    </row>
    <row r="61" spans="2:73" s="69" customFormat="1">
      <c r="B61" s="663" t="s">
        <v>176</v>
      </c>
      <c r="C61" s="664" t="s">
        <v>177</v>
      </c>
      <c r="D61" s="665"/>
      <c r="E61" s="665"/>
      <c r="F61" s="665"/>
      <c r="G61" s="665"/>
      <c r="H61" s="615"/>
      <c r="I61" s="487"/>
      <c r="J61" s="517"/>
      <c r="K61" s="517"/>
      <c r="L61" s="517"/>
      <c r="M61" s="518"/>
      <c r="N61" s="517"/>
      <c r="O61" s="518"/>
      <c r="P61" s="519"/>
      <c r="Q61" s="517"/>
      <c r="R61" s="517"/>
      <c r="S61" s="517"/>
      <c r="T61" s="517"/>
      <c r="U61" s="517"/>
      <c r="V61" s="517"/>
      <c r="W61" s="517"/>
      <c r="X61" s="517"/>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row>
    <row r="62" spans="2:73" s="69" customFormat="1">
      <c r="B62" s="928" t="s">
        <v>65</v>
      </c>
      <c r="C62" s="929" t="s">
        <v>327</v>
      </c>
      <c r="D62" s="930"/>
      <c r="E62" s="929"/>
      <c r="F62" s="929"/>
      <c r="G62" s="929"/>
      <c r="H62" s="931">
        <v>40000</v>
      </c>
      <c r="I62" s="902">
        <v>90000</v>
      </c>
      <c r="J62" s="932">
        <v>90000</v>
      </c>
      <c r="K62" s="932">
        <v>0</v>
      </c>
      <c r="L62" s="932">
        <v>0</v>
      </c>
      <c r="M62" s="932">
        <v>0</v>
      </c>
      <c r="N62" s="932">
        <v>0</v>
      </c>
      <c r="O62" s="932">
        <v>0</v>
      </c>
      <c r="P62" s="933">
        <v>0</v>
      </c>
      <c r="Q62" s="933">
        <v>0</v>
      </c>
      <c r="R62" s="933">
        <v>0</v>
      </c>
      <c r="S62" s="933">
        <v>0</v>
      </c>
      <c r="T62" s="933">
        <v>0</v>
      </c>
      <c r="U62" s="933">
        <v>0</v>
      </c>
      <c r="V62" s="933">
        <v>0</v>
      </c>
      <c r="W62" s="933">
        <v>0</v>
      </c>
      <c r="X62" s="933">
        <v>0</v>
      </c>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row>
    <row r="63" spans="2:73" s="69" customFormat="1">
      <c r="B63" s="934"/>
      <c r="C63" s="935" t="s">
        <v>66</v>
      </c>
      <c r="D63" s="930" t="s">
        <v>182</v>
      </c>
      <c r="E63" s="930"/>
      <c r="F63" s="930"/>
      <c r="G63" s="930"/>
      <c r="H63" s="931">
        <v>40100</v>
      </c>
      <c r="I63" s="936">
        <v>90000</v>
      </c>
      <c r="J63" s="937">
        <v>90000</v>
      </c>
      <c r="K63" s="937">
        <v>0</v>
      </c>
      <c r="L63" s="937">
        <v>0</v>
      </c>
      <c r="M63" s="937">
        <v>0</v>
      </c>
      <c r="N63" s="937">
        <v>0</v>
      </c>
      <c r="O63" s="937">
        <v>0</v>
      </c>
      <c r="P63" s="937">
        <v>0</v>
      </c>
      <c r="Q63" s="937">
        <v>0</v>
      </c>
      <c r="R63" s="937">
        <v>0</v>
      </c>
      <c r="S63" s="937">
        <v>0</v>
      </c>
      <c r="T63" s="937">
        <v>0</v>
      </c>
      <c r="U63" s="937">
        <v>0</v>
      </c>
      <c r="V63" s="937">
        <v>0</v>
      </c>
      <c r="W63" s="937">
        <v>0</v>
      </c>
      <c r="X63" s="937">
        <v>0</v>
      </c>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row>
    <row r="64" spans="2:73" s="69" customFormat="1">
      <c r="B64" s="938"/>
      <c r="C64" s="939"/>
      <c r="D64" s="939" t="s">
        <v>84</v>
      </c>
      <c r="E64" s="940" t="s">
        <v>184</v>
      </c>
      <c r="F64" s="940"/>
      <c r="G64" s="940"/>
      <c r="H64" s="941">
        <v>40110</v>
      </c>
      <c r="I64" s="942">
        <v>90000</v>
      </c>
      <c r="J64" s="943">
        <v>90000</v>
      </c>
      <c r="K64" s="943">
        <v>0</v>
      </c>
      <c r="L64" s="943">
        <v>0</v>
      </c>
      <c r="M64" s="943">
        <v>0</v>
      </c>
      <c r="N64" s="943">
        <v>0</v>
      </c>
      <c r="O64" s="943">
        <v>0</v>
      </c>
      <c r="P64" s="943">
        <v>0</v>
      </c>
      <c r="Q64" s="943">
        <v>0</v>
      </c>
      <c r="R64" s="943">
        <v>0</v>
      </c>
      <c r="S64" s="943">
        <v>0</v>
      </c>
      <c r="T64" s="943">
        <v>0</v>
      </c>
      <c r="U64" s="943">
        <v>0</v>
      </c>
      <c r="V64" s="943">
        <v>0</v>
      </c>
      <c r="W64" s="943">
        <v>0</v>
      </c>
      <c r="X64" s="944">
        <v>0</v>
      </c>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row>
    <row r="65" spans="2:73" s="69" customFormat="1">
      <c r="B65" s="938"/>
      <c r="C65" s="939"/>
      <c r="D65" s="939" t="s">
        <v>100</v>
      </c>
      <c r="E65" s="940" t="s">
        <v>188</v>
      </c>
      <c r="F65" s="940"/>
      <c r="G65" s="940"/>
      <c r="H65" s="941">
        <v>40120</v>
      </c>
      <c r="I65" s="942">
        <v>0</v>
      </c>
      <c r="J65" s="945">
        <v>0</v>
      </c>
      <c r="K65" s="945">
        <v>0</v>
      </c>
      <c r="L65" s="945">
        <v>0</v>
      </c>
      <c r="M65" s="945">
        <v>0</v>
      </c>
      <c r="N65" s="945">
        <v>0</v>
      </c>
      <c r="O65" s="945">
        <v>0</v>
      </c>
      <c r="P65" s="945">
        <v>0</v>
      </c>
      <c r="Q65" s="945">
        <v>0</v>
      </c>
      <c r="R65" s="945">
        <v>0</v>
      </c>
      <c r="S65" s="945">
        <v>0</v>
      </c>
      <c r="T65" s="945">
        <v>0</v>
      </c>
      <c r="U65" s="945">
        <v>0</v>
      </c>
      <c r="V65" s="945">
        <v>0</v>
      </c>
      <c r="W65" s="945">
        <v>0</v>
      </c>
      <c r="X65" s="945">
        <v>0</v>
      </c>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row>
    <row r="66" spans="2:73" s="69" customFormat="1">
      <c r="B66" s="938"/>
      <c r="C66" s="939"/>
      <c r="D66" s="939"/>
      <c r="E66" s="940" t="s">
        <v>87</v>
      </c>
      <c r="F66" s="940" t="s">
        <v>191</v>
      </c>
      <c r="G66" s="940"/>
      <c r="H66" s="941">
        <v>40121</v>
      </c>
      <c r="I66" s="942">
        <v>0</v>
      </c>
      <c r="J66" s="943">
        <v>0</v>
      </c>
      <c r="K66" s="943">
        <v>0</v>
      </c>
      <c r="L66" s="943">
        <v>0</v>
      </c>
      <c r="M66" s="943">
        <v>0</v>
      </c>
      <c r="N66" s="943">
        <v>0</v>
      </c>
      <c r="O66" s="943">
        <v>0</v>
      </c>
      <c r="P66" s="943">
        <v>0</v>
      </c>
      <c r="Q66" s="943">
        <v>0</v>
      </c>
      <c r="R66" s="943">
        <v>0</v>
      </c>
      <c r="S66" s="943">
        <v>0</v>
      </c>
      <c r="T66" s="943">
        <v>0</v>
      </c>
      <c r="U66" s="943">
        <v>0</v>
      </c>
      <c r="V66" s="943">
        <v>0</v>
      </c>
      <c r="W66" s="943">
        <v>0</v>
      </c>
      <c r="X66" s="944">
        <v>0</v>
      </c>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row>
    <row r="67" spans="2:73" s="69" customFormat="1">
      <c r="B67" s="938"/>
      <c r="C67" s="939"/>
      <c r="D67" s="939"/>
      <c r="E67" s="940" t="s">
        <v>90</v>
      </c>
      <c r="F67" s="940" t="s">
        <v>193</v>
      </c>
      <c r="G67" s="940"/>
      <c r="H67" s="941">
        <v>40122</v>
      </c>
      <c r="I67" s="942">
        <v>0</v>
      </c>
      <c r="J67" s="943">
        <v>0</v>
      </c>
      <c r="K67" s="943">
        <v>0</v>
      </c>
      <c r="L67" s="943">
        <v>0</v>
      </c>
      <c r="M67" s="943">
        <v>0</v>
      </c>
      <c r="N67" s="943">
        <v>0</v>
      </c>
      <c r="O67" s="943">
        <v>0</v>
      </c>
      <c r="P67" s="943">
        <v>0</v>
      </c>
      <c r="Q67" s="943">
        <v>0</v>
      </c>
      <c r="R67" s="943">
        <v>0</v>
      </c>
      <c r="S67" s="943">
        <v>0</v>
      </c>
      <c r="T67" s="943">
        <v>0</v>
      </c>
      <c r="U67" s="943">
        <v>0</v>
      </c>
      <c r="V67" s="943">
        <v>0</v>
      </c>
      <c r="W67" s="943">
        <v>0</v>
      </c>
      <c r="X67" s="944">
        <v>0</v>
      </c>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row>
    <row r="68" spans="2:73" s="69" customFormat="1">
      <c r="B68" s="938"/>
      <c r="C68" s="939"/>
      <c r="D68" s="939" t="s">
        <v>137</v>
      </c>
      <c r="E68" s="940" t="s">
        <v>101</v>
      </c>
      <c r="F68" s="940"/>
      <c r="G68" s="940"/>
      <c r="H68" s="946">
        <v>40190</v>
      </c>
      <c r="I68" s="947">
        <v>0</v>
      </c>
      <c r="J68" s="948">
        <v>0</v>
      </c>
      <c r="K68" s="948">
        <v>0</v>
      </c>
      <c r="L68" s="948">
        <v>0</v>
      </c>
      <c r="M68" s="948">
        <v>0</v>
      </c>
      <c r="N68" s="948">
        <v>0</v>
      </c>
      <c r="O68" s="948">
        <v>0</v>
      </c>
      <c r="P68" s="948">
        <v>0</v>
      </c>
      <c r="Q68" s="948">
        <v>0</v>
      </c>
      <c r="R68" s="948">
        <v>0</v>
      </c>
      <c r="S68" s="948">
        <v>0</v>
      </c>
      <c r="T68" s="948">
        <v>0</v>
      </c>
      <c r="U68" s="948">
        <v>0</v>
      </c>
      <c r="V68" s="948">
        <v>0</v>
      </c>
      <c r="W68" s="948">
        <v>0</v>
      </c>
      <c r="X68" s="948">
        <v>0</v>
      </c>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row>
    <row r="69" spans="2:73" s="69" customFormat="1">
      <c r="B69" s="949"/>
      <c r="C69" s="950" t="s">
        <v>73</v>
      </c>
      <c r="D69" s="951" t="s">
        <v>196</v>
      </c>
      <c r="E69" s="951"/>
      <c r="F69" s="951"/>
      <c r="G69" s="951"/>
      <c r="H69" s="952">
        <v>40200</v>
      </c>
      <c r="I69" s="953">
        <v>0</v>
      </c>
      <c r="J69" s="943">
        <v>0</v>
      </c>
      <c r="K69" s="943">
        <v>0</v>
      </c>
      <c r="L69" s="943">
        <v>0</v>
      </c>
      <c r="M69" s="943">
        <v>0</v>
      </c>
      <c r="N69" s="943">
        <v>0</v>
      </c>
      <c r="O69" s="943">
        <v>0</v>
      </c>
      <c r="P69" s="943">
        <v>0</v>
      </c>
      <c r="Q69" s="943">
        <v>0</v>
      </c>
      <c r="R69" s="943">
        <v>0</v>
      </c>
      <c r="S69" s="943">
        <v>0</v>
      </c>
      <c r="T69" s="943">
        <v>0</v>
      </c>
      <c r="U69" s="943">
        <v>0</v>
      </c>
      <c r="V69" s="943">
        <v>0</v>
      </c>
      <c r="W69" s="943">
        <v>0</v>
      </c>
      <c r="X69" s="944">
        <v>0</v>
      </c>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row>
    <row r="70" spans="2:73" s="69" customFormat="1">
      <c r="B70" s="938"/>
      <c r="C70" s="939"/>
      <c r="D70" s="939"/>
      <c r="E70" s="940"/>
      <c r="F70" s="940"/>
      <c r="G70" s="940"/>
      <c r="H70" s="954"/>
      <c r="I70" s="955"/>
      <c r="J70" s="956"/>
      <c r="K70" s="956"/>
      <c r="L70" s="956"/>
      <c r="M70" s="956"/>
      <c r="N70" s="956"/>
      <c r="O70" s="956"/>
      <c r="P70" s="520"/>
      <c r="Q70" s="521"/>
      <c r="R70" s="521"/>
      <c r="S70" s="521"/>
      <c r="T70" s="521"/>
      <c r="U70" s="521"/>
      <c r="V70" s="521"/>
      <c r="W70" s="521"/>
      <c r="X70" s="521"/>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row>
    <row r="71" spans="2:73" s="69" customFormat="1">
      <c r="B71" s="957" t="s">
        <v>128</v>
      </c>
      <c r="C71" s="958" t="s">
        <v>328</v>
      </c>
      <c r="D71" s="951"/>
      <c r="E71" s="958"/>
      <c r="F71" s="958"/>
      <c r="G71" s="958"/>
      <c r="H71" s="931">
        <v>50000</v>
      </c>
      <c r="I71" s="902">
        <v>0</v>
      </c>
      <c r="J71" s="932">
        <v>0</v>
      </c>
      <c r="K71" s="932">
        <v>0</v>
      </c>
      <c r="L71" s="932">
        <v>0</v>
      </c>
      <c r="M71" s="932">
        <v>0</v>
      </c>
      <c r="N71" s="932">
        <v>0</v>
      </c>
      <c r="O71" s="932">
        <v>0</v>
      </c>
      <c r="P71" s="932">
        <v>0</v>
      </c>
      <c r="Q71" s="932">
        <v>0</v>
      </c>
      <c r="R71" s="932">
        <v>0</v>
      </c>
      <c r="S71" s="932">
        <v>0</v>
      </c>
      <c r="T71" s="932">
        <v>0</v>
      </c>
      <c r="U71" s="932">
        <v>0</v>
      </c>
      <c r="V71" s="932">
        <v>0</v>
      </c>
      <c r="W71" s="932">
        <v>0</v>
      </c>
      <c r="X71" s="932">
        <v>0</v>
      </c>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row>
    <row r="72" spans="2:73" s="69" customFormat="1">
      <c r="B72" s="949"/>
      <c r="C72" s="950" t="s">
        <v>66</v>
      </c>
      <c r="D72" s="951" t="s">
        <v>182</v>
      </c>
      <c r="E72" s="951"/>
      <c r="F72" s="951"/>
      <c r="G72" s="951"/>
      <c r="H72" s="931">
        <v>50100</v>
      </c>
      <c r="I72" s="936">
        <v>0</v>
      </c>
      <c r="J72" s="937">
        <v>0</v>
      </c>
      <c r="K72" s="937">
        <v>0</v>
      </c>
      <c r="L72" s="937">
        <v>0</v>
      </c>
      <c r="M72" s="937">
        <v>0</v>
      </c>
      <c r="N72" s="937">
        <v>0</v>
      </c>
      <c r="O72" s="937">
        <v>0</v>
      </c>
      <c r="P72" s="937">
        <v>0</v>
      </c>
      <c r="Q72" s="937">
        <v>0</v>
      </c>
      <c r="R72" s="937">
        <v>0</v>
      </c>
      <c r="S72" s="937">
        <v>0</v>
      </c>
      <c r="T72" s="937">
        <v>0</v>
      </c>
      <c r="U72" s="937">
        <v>0</v>
      </c>
      <c r="V72" s="937">
        <v>0</v>
      </c>
      <c r="W72" s="937">
        <v>0</v>
      </c>
      <c r="X72" s="937">
        <v>0</v>
      </c>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row>
    <row r="73" spans="2:73" s="69" customFormat="1">
      <c r="B73" s="938"/>
      <c r="C73" s="940"/>
      <c r="D73" s="939" t="s">
        <v>84</v>
      </c>
      <c r="E73" s="940" t="s">
        <v>202</v>
      </c>
      <c r="F73" s="940"/>
      <c r="G73" s="940"/>
      <c r="H73" s="941">
        <v>50110</v>
      </c>
      <c r="I73" s="942">
        <v>0</v>
      </c>
      <c r="J73" s="943">
        <v>0</v>
      </c>
      <c r="K73" s="943">
        <v>0</v>
      </c>
      <c r="L73" s="943">
        <v>0</v>
      </c>
      <c r="M73" s="943">
        <v>0</v>
      </c>
      <c r="N73" s="943">
        <v>0</v>
      </c>
      <c r="O73" s="943">
        <v>0</v>
      </c>
      <c r="P73" s="943">
        <v>0</v>
      </c>
      <c r="Q73" s="943">
        <v>0</v>
      </c>
      <c r="R73" s="943">
        <v>0</v>
      </c>
      <c r="S73" s="943">
        <v>0</v>
      </c>
      <c r="T73" s="943">
        <v>0</v>
      </c>
      <c r="U73" s="943">
        <v>0</v>
      </c>
      <c r="V73" s="943">
        <v>0</v>
      </c>
      <c r="W73" s="943">
        <v>0</v>
      </c>
      <c r="X73" s="944">
        <v>0</v>
      </c>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row>
    <row r="74" spans="2:73" s="69" customFormat="1">
      <c r="B74" s="938"/>
      <c r="C74" s="940"/>
      <c r="D74" s="939" t="s">
        <v>100</v>
      </c>
      <c r="E74" s="940" t="s">
        <v>329</v>
      </c>
      <c r="F74" s="940"/>
      <c r="G74" s="940"/>
      <c r="H74" s="941">
        <v>50120</v>
      </c>
      <c r="I74" s="942">
        <v>0</v>
      </c>
      <c r="J74" s="943">
        <v>0</v>
      </c>
      <c r="K74" s="943">
        <v>0</v>
      </c>
      <c r="L74" s="943">
        <v>0</v>
      </c>
      <c r="M74" s="943">
        <v>0</v>
      </c>
      <c r="N74" s="943">
        <v>0</v>
      </c>
      <c r="O74" s="943">
        <v>0</v>
      </c>
      <c r="P74" s="943">
        <v>0</v>
      </c>
      <c r="Q74" s="943">
        <v>0</v>
      </c>
      <c r="R74" s="943">
        <v>0</v>
      </c>
      <c r="S74" s="943">
        <v>0</v>
      </c>
      <c r="T74" s="943">
        <v>0</v>
      </c>
      <c r="U74" s="943">
        <v>0</v>
      </c>
      <c r="V74" s="943">
        <v>0</v>
      </c>
      <c r="W74" s="943">
        <v>0</v>
      </c>
      <c r="X74" s="944">
        <v>0</v>
      </c>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row>
    <row r="75" spans="2:73" s="69" customFormat="1">
      <c r="B75" s="938"/>
      <c r="C75" s="940"/>
      <c r="D75" s="939" t="s">
        <v>137</v>
      </c>
      <c r="E75" s="940" t="s">
        <v>208</v>
      </c>
      <c r="F75" s="940"/>
      <c r="G75" s="940"/>
      <c r="H75" s="941">
        <v>50130</v>
      </c>
      <c r="I75" s="942">
        <v>0</v>
      </c>
      <c r="J75" s="945">
        <v>0</v>
      </c>
      <c r="K75" s="945">
        <v>0</v>
      </c>
      <c r="L75" s="945">
        <v>0</v>
      </c>
      <c r="M75" s="945">
        <v>0</v>
      </c>
      <c r="N75" s="945">
        <v>0</v>
      </c>
      <c r="O75" s="945">
        <v>0</v>
      </c>
      <c r="P75" s="959">
        <v>0</v>
      </c>
      <c r="Q75" s="959">
        <v>0</v>
      </c>
      <c r="R75" s="959">
        <v>0</v>
      </c>
      <c r="S75" s="959">
        <v>0</v>
      </c>
      <c r="T75" s="959">
        <v>0</v>
      </c>
      <c r="U75" s="959">
        <v>0</v>
      </c>
      <c r="V75" s="959">
        <v>0</v>
      </c>
      <c r="W75" s="959">
        <v>0</v>
      </c>
      <c r="X75" s="959">
        <v>0</v>
      </c>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row>
    <row r="76" spans="2:73" s="69" customFormat="1">
      <c r="B76" s="938"/>
      <c r="C76" s="939"/>
      <c r="D76" s="939"/>
      <c r="E76" s="939" t="s">
        <v>87</v>
      </c>
      <c r="F76" s="940" t="s">
        <v>191</v>
      </c>
      <c r="G76" s="940"/>
      <c r="H76" s="941">
        <v>50131</v>
      </c>
      <c r="I76" s="942">
        <v>0</v>
      </c>
      <c r="J76" s="943">
        <v>0</v>
      </c>
      <c r="K76" s="943">
        <v>0</v>
      </c>
      <c r="L76" s="943">
        <v>0</v>
      </c>
      <c r="M76" s="943">
        <v>0</v>
      </c>
      <c r="N76" s="943">
        <v>0</v>
      </c>
      <c r="O76" s="943">
        <v>0</v>
      </c>
      <c r="P76" s="943">
        <v>0</v>
      </c>
      <c r="Q76" s="943">
        <v>0</v>
      </c>
      <c r="R76" s="943">
        <v>0</v>
      </c>
      <c r="S76" s="943">
        <v>0</v>
      </c>
      <c r="T76" s="943">
        <v>0</v>
      </c>
      <c r="U76" s="943">
        <v>0</v>
      </c>
      <c r="V76" s="943">
        <v>0</v>
      </c>
      <c r="W76" s="943">
        <v>0</v>
      </c>
      <c r="X76" s="944">
        <v>0</v>
      </c>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row>
    <row r="77" spans="2:73" ht="15" customHeight="1">
      <c r="B77" s="938"/>
      <c r="C77" s="939"/>
      <c r="D77" s="939"/>
      <c r="E77" s="939" t="s">
        <v>90</v>
      </c>
      <c r="F77" s="940" t="s">
        <v>193</v>
      </c>
      <c r="G77" s="940"/>
      <c r="H77" s="941">
        <v>50132</v>
      </c>
      <c r="I77" s="942">
        <v>0</v>
      </c>
      <c r="J77" s="943">
        <v>0</v>
      </c>
      <c r="K77" s="943">
        <v>0</v>
      </c>
      <c r="L77" s="943">
        <v>0</v>
      </c>
      <c r="M77" s="943">
        <v>0</v>
      </c>
      <c r="N77" s="943">
        <v>0</v>
      </c>
      <c r="O77" s="943">
        <v>0</v>
      </c>
      <c r="P77" s="943">
        <v>0</v>
      </c>
      <c r="Q77" s="943">
        <v>0</v>
      </c>
      <c r="R77" s="943">
        <v>0</v>
      </c>
      <c r="S77" s="943">
        <v>0</v>
      </c>
      <c r="T77" s="943">
        <v>0</v>
      </c>
      <c r="U77" s="943">
        <v>0</v>
      </c>
      <c r="V77" s="943">
        <v>0</v>
      </c>
      <c r="W77" s="943">
        <v>0</v>
      </c>
      <c r="X77" s="944">
        <v>0</v>
      </c>
    </row>
    <row r="78" spans="2:73">
      <c r="B78" s="938"/>
      <c r="C78" s="940"/>
      <c r="D78" s="939" t="s">
        <v>210</v>
      </c>
      <c r="E78" s="940" t="s">
        <v>101</v>
      </c>
      <c r="F78" s="940"/>
      <c r="G78" s="940"/>
      <c r="H78" s="941">
        <v>50190</v>
      </c>
      <c r="I78" s="942">
        <v>0</v>
      </c>
      <c r="J78" s="948">
        <v>0</v>
      </c>
      <c r="K78" s="948">
        <v>0</v>
      </c>
      <c r="L78" s="948">
        <v>0</v>
      </c>
      <c r="M78" s="948">
        <v>0</v>
      </c>
      <c r="N78" s="948">
        <v>0</v>
      </c>
      <c r="O78" s="948">
        <v>0</v>
      </c>
      <c r="P78" s="948">
        <v>0</v>
      </c>
      <c r="Q78" s="948">
        <v>0</v>
      </c>
      <c r="R78" s="948">
        <v>0</v>
      </c>
      <c r="S78" s="948">
        <v>0</v>
      </c>
      <c r="T78" s="948">
        <v>0</v>
      </c>
      <c r="U78" s="948">
        <v>0</v>
      </c>
      <c r="V78" s="948">
        <v>0</v>
      </c>
      <c r="W78" s="948">
        <v>0</v>
      </c>
      <c r="X78" s="948">
        <v>0</v>
      </c>
    </row>
    <row r="79" spans="2:73">
      <c r="B79" s="949"/>
      <c r="C79" s="950" t="s">
        <v>73</v>
      </c>
      <c r="D79" s="951" t="s">
        <v>212</v>
      </c>
      <c r="E79" s="951"/>
      <c r="F79" s="951"/>
      <c r="G79" s="951"/>
      <c r="H79" s="931">
        <v>50200</v>
      </c>
      <c r="I79" s="936">
        <v>0</v>
      </c>
      <c r="J79" s="948">
        <v>0</v>
      </c>
      <c r="K79" s="948">
        <v>0</v>
      </c>
      <c r="L79" s="948">
        <v>0</v>
      </c>
      <c r="M79" s="948">
        <v>0</v>
      </c>
      <c r="N79" s="948">
        <v>0</v>
      </c>
      <c r="O79" s="948">
        <v>0</v>
      </c>
      <c r="P79" s="948">
        <v>0</v>
      </c>
      <c r="Q79" s="948">
        <v>0</v>
      </c>
      <c r="R79" s="948">
        <v>0</v>
      </c>
      <c r="S79" s="948">
        <v>0</v>
      </c>
      <c r="T79" s="948">
        <v>0</v>
      </c>
      <c r="U79" s="948">
        <v>0</v>
      </c>
      <c r="V79" s="948">
        <v>0</v>
      </c>
      <c r="W79" s="948">
        <v>0</v>
      </c>
      <c r="X79" s="948">
        <v>0</v>
      </c>
    </row>
    <row r="80" spans="2:73" s="68" customFormat="1" ht="15.75" thickBot="1">
      <c r="B80" s="960"/>
      <c r="C80" s="961"/>
      <c r="D80" s="961"/>
      <c r="E80" s="961"/>
      <c r="F80" s="961"/>
      <c r="G80" s="961"/>
      <c r="H80" s="962"/>
      <c r="I80" s="963"/>
      <c r="J80" s="964"/>
      <c r="K80" s="964"/>
      <c r="L80" s="964"/>
      <c r="M80" s="964"/>
      <c r="N80" s="964"/>
      <c r="O80" s="964"/>
      <c r="P80" s="488"/>
      <c r="Q80" s="488"/>
      <c r="R80" s="488"/>
      <c r="S80" s="488"/>
      <c r="T80" s="488"/>
      <c r="U80" s="488"/>
      <c r="V80" s="488"/>
      <c r="W80" s="488"/>
      <c r="X80" s="488"/>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row>
    <row r="81" spans="2:73" s="68" customFormat="1" ht="9.75" customHeight="1" thickBot="1">
      <c r="B81" s="666" t="s">
        <v>253</v>
      </c>
      <c r="C81" s="667"/>
      <c r="D81" s="667"/>
      <c r="E81" s="667"/>
      <c r="F81" s="667"/>
      <c r="G81" s="667"/>
      <c r="H81" s="668">
        <v>60000</v>
      </c>
      <c r="I81" s="510">
        <v>90000</v>
      </c>
      <c r="J81" s="522">
        <v>90000</v>
      </c>
      <c r="K81" s="522">
        <v>0</v>
      </c>
      <c r="L81" s="522">
        <v>0</v>
      </c>
      <c r="M81" s="523">
        <v>0</v>
      </c>
      <c r="N81" s="522">
        <v>0</v>
      </c>
      <c r="O81" s="523">
        <v>0</v>
      </c>
      <c r="P81" s="524">
        <v>0</v>
      </c>
      <c r="Q81" s="524">
        <v>0</v>
      </c>
      <c r="R81" s="524">
        <v>0</v>
      </c>
      <c r="S81" s="524">
        <v>0</v>
      </c>
      <c r="T81" s="524">
        <v>0</v>
      </c>
      <c r="U81" s="524">
        <v>0</v>
      </c>
      <c r="V81" s="524">
        <v>0</v>
      </c>
      <c r="W81" s="524">
        <v>0</v>
      </c>
      <c r="X81" s="525">
        <v>0</v>
      </c>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row>
    <row r="82" spans="2:73" ht="15.75" thickBot="1">
      <c r="B82" s="658"/>
      <c r="C82" s="669"/>
      <c r="D82" s="669"/>
      <c r="E82" s="658"/>
      <c r="F82" s="658"/>
      <c r="G82" s="658"/>
      <c r="H82" s="662"/>
      <c r="I82" s="526"/>
      <c r="J82" s="514"/>
      <c r="K82" s="514"/>
      <c r="L82" s="514"/>
      <c r="M82" s="514"/>
      <c r="N82" s="514"/>
      <c r="O82" s="514"/>
      <c r="P82" s="527"/>
      <c r="Q82" s="527"/>
      <c r="R82" s="527"/>
      <c r="S82" s="527"/>
      <c r="T82" s="527"/>
      <c r="U82" s="527"/>
      <c r="V82" s="527"/>
      <c r="W82" s="527"/>
      <c r="X82" s="527"/>
    </row>
    <row r="83" spans="2:73" ht="15.75" thickBot="1">
      <c r="B83" s="666" t="s">
        <v>217</v>
      </c>
      <c r="C83" s="667"/>
      <c r="D83" s="667"/>
      <c r="E83" s="667"/>
      <c r="F83" s="667"/>
      <c r="G83" s="667"/>
      <c r="H83" s="668">
        <v>70000</v>
      </c>
      <c r="I83" s="510">
        <v>90001.004040935542</v>
      </c>
      <c r="J83" s="522">
        <v>127870</v>
      </c>
      <c r="K83" s="522">
        <v>0</v>
      </c>
      <c r="L83" s="522">
        <v>-7808</v>
      </c>
      <c r="M83" s="523">
        <v>-166393</v>
      </c>
      <c r="N83" s="522">
        <v>-199154</v>
      </c>
      <c r="O83" s="523">
        <v>9287</v>
      </c>
      <c r="P83" s="524">
        <v>4633</v>
      </c>
      <c r="Q83" s="524">
        <v>169643</v>
      </c>
      <c r="R83" s="524">
        <v>16881</v>
      </c>
      <c r="S83" s="524">
        <v>10055</v>
      </c>
      <c r="T83" s="524">
        <v>44819</v>
      </c>
      <c r="U83" s="524">
        <v>77610</v>
      </c>
      <c r="V83" s="524">
        <v>2559</v>
      </c>
      <c r="W83" s="524">
        <v>0</v>
      </c>
      <c r="X83" s="525">
        <v>0</v>
      </c>
    </row>
    <row r="84" spans="2:73" ht="15.75" thickBot="1">
      <c r="B84" s="670"/>
      <c r="C84" s="658"/>
      <c r="D84" s="658"/>
      <c r="E84" s="658"/>
      <c r="F84" s="658"/>
      <c r="G84" s="658"/>
      <c r="H84" s="662"/>
      <c r="I84" s="489"/>
      <c r="J84" s="490"/>
      <c r="K84" s="490"/>
      <c r="L84" s="490"/>
      <c r="M84" s="490"/>
      <c r="N84" s="490"/>
      <c r="O84" s="490"/>
      <c r="P84" s="491"/>
      <c r="Q84" s="491"/>
      <c r="R84" s="491"/>
      <c r="S84" s="491"/>
      <c r="T84" s="491"/>
      <c r="U84" s="491"/>
      <c r="V84" s="491"/>
      <c r="W84" s="491"/>
      <c r="X84" s="491"/>
    </row>
    <row r="85" spans="2:73" ht="15.75" thickBot="1">
      <c r="B85" s="666" t="s">
        <v>218</v>
      </c>
      <c r="C85" s="667"/>
      <c r="D85" s="667"/>
      <c r="E85" s="667"/>
      <c r="F85" s="667"/>
      <c r="G85" s="671"/>
      <c r="H85" s="668">
        <v>80000</v>
      </c>
      <c r="I85" s="510"/>
      <c r="J85" s="522">
        <v>127870</v>
      </c>
      <c r="K85" s="522">
        <v>127870</v>
      </c>
      <c r="L85" s="522">
        <v>120062</v>
      </c>
      <c r="M85" s="522">
        <v>-46331</v>
      </c>
      <c r="N85" s="522">
        <v>-245485</v>
      </c>
      <c r="O85" s="522">
        <v>-236198</v>
      </c>
      <c r="P85" s="528">
        <v>-231565</v>
      </c>
      <c r="Q85" s="528">
        <v>-61922</v>
      </c>
      <c r="R85" s="528">
        <v>-45041</v>
      </c>
      <c r="S85" s="528">
        <v>-34986</v>
      </c>
      <c r="T85" s="528">
        <v>9833</v>
      </c>
      <c r="U85" s="528">
        <v>87443</v>
      </c>
      <c r="V85" s="528">
        <v>90002</v>
      </c>
      <c r="W85" s="528">
        <v>90002</v>
      </c>
      <c r="X85" s="528">
        <v>90002</v>
      </c>
    </row>
    <row r="86" spans="2:73" ht="15" customHeight="1" thickBot="1">
      <c r="B86" s="965" t="s">
        <v>330</v>
      </c>
      <c r="C86" s="672"/>
      <c r="D86" s="672"/>
      <c r="E86" s="672"/>
      <c r="F86" s="672"/>
      <c r="G86" s="673"/>
      <c r="H86" s="674"/>
      <c r="I86" s="529"/>
      <c r="J86" s="966">
        <v>127870</v>
      </c>
      <c r="K86" s="966">
        <v>127870</v>
      </c>
      <c r="L86" s="966">
        <v>120062</v>
      </c>
      <c r="M86" s="530"/>
      <c r="N86" s="530"/>
      <c r="O86" s="530"/>
      <c r="P86" s="531"/>
      <c r="Q86" s="531"/>
      <c r="R86" s="531"/>
      <c r="S86" s="531"/>
      <c r="T86" s="531"/>
      <c r="U86" s="531"/>
      <c r="V86" s="531"/>
      <c r="W86" s="531"/>
      <c r="X86" s="531"/>
    </row>
    <row r="87" spans="2:73">
      <c r="B87" s="675"/>
      <c r="C87" s="675"/>
      <c r="D87" s="675"/>
      <c r="E87" s="675"/>
      <c r="F87" s="675"/>
      <c r="G87" s="675"/>
      <c r="H87" s="676"/>
      <c r="I87" s="677"/>
      <c r="J87" s="678">
        <v>37870</v>
      </c>
      <c r="K87" s="678">
        <v>0</v>
      </c>
      <c r="L87" s="679">
        <v>-7808</v>
      </c>
      <c r="M87" s="675"/>
      <c r="N87" s="675"/>
      <c r="O87" s="675"/>
      <c r="P87" s="675"/>
      <c r="Q87" s="675"/>
      <c r="R87" s="675"/>
      <c r="S87" s="675"/>
      <c r="T87" s="675"/>
      <c r="U87" s="675"/>
      <c r="V87" s="675"/>
      <c r="W87" s="675"/>
      <c r="X87" s="675"/>
    </row>
    <row r="88" spans="2:73">
      <c r="B88" s="680" t="s">
        <v>219</v>
      </c>
      <c r="C88" s="680" t="s">
        <v>331</v>
      </c>
      <c r="D88" s="680"/>
      <c r="E88" s="680"/>
      <c r="F88" s="680"/>
      <c r="G88" s="680"/>
      <c r="H88" s="681"/>
      <c r="I88" s="682"/>
      <c r="J88" s="680"/>
      <c r="L88" s="683"/>
    </row>
    <row r="89" spans="2:73" ht="16.5" customHeight="1">
      <c r="B89" s="680"/>
      <c r="C89" s="680" t="s">
        <v>332</v>
      </c>
      <c r="D89" s="680"/>
      <c r="E89" s="680"/>
      <c r="F89" s="680"/>
      <c r="G89" s="1109">
        <v>0</v>
      </c>
      <c r="H89" s="681"/>
      <c r="I89" s="682"/>
      <c r="J89" s="680"/>
      <c r="L89" s="684"/>
    </row>
    <row r="90" spans="2:73">
      <c r="B90" s="680"/>
      <c r="C90" s="680" t="s">
        <v>333</v>
      </c>
      <c r="D90" s="680"/>
      <c r="E90" s="680"/>
      <c r="F90" s="680"/>
      <c r="G90" s="1109">
        <v>0</v>
      </c>
      <c r="H90" s="1109">
        <v>0</v>
      </c>
      <c r="I90" s="1110"/>
      <c r="J90" s="680"/>
    </row>
    <row r="91" spans="2:73">
      <c r="B91" s="680"/>
      <c r="C91" s="680" t="s">
        <v>334</v>
      </c>
      <c r="D91" s="680"/>
      <c r="E91" s="680"/>
      <c r="F91" s="680"/>
      <c r="G91" s="1109">
        <v>0</v>
      </c>
      <c r="H91" s="681"/>
      <c r="I91" s="682"/>
      <c r="J91" s="680"/>
    </row>
    <row r="92" spans="2:73" s="69" customFormat="1" ht="31.5" customHeight="1">
      <c r="B92" s="680" t="s">
        <v>335</v>
      </c>
      <c r="C92" s="680"/>
      <c r="D92" s="680"/>
      <c r="E92" s="680"/>
      <c r="F92" s="680"/>
      <c r="G92" s="680"/>
      <c r="H92" s="681"/>
      <c r="I92" s="682"/>
      <c r="J92" s="680"/>
      <c r="K92" s="67"/>
      <c r="L92" s="67"/>
      <c r="M92" s="67"/>
      <c r="N92" s="67"/>
      <c r="O92" s="67"/>
      <c r="P92" s="67"/>
      <c r="Q92" s="67"/>
      <c r="R92" s="67"/>
      <c r="S92" s="67"/>
      <c r="T92" s="67"/>
      <c r="U92" s="67"/>
      <c r="V92" s="67"/>
      <c r="W92" s="67"/>
      <c r="X92" s="67"/>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row>
    <row r="93" spans="2:73" s="69" customFormat="1">
      <c r="B93" s="680" t="s">
        <v>336</v>
      </c>
      <c r="C93" s="685"/>
      <c r="D93" s="685"/>
      <c r="E93" s="685"/>
      <c r="F93" s="685"/>
      <c r="G93" s="685"/>
      <c r="H93" s="681"/>
      <c r="I93" s="686"/>
      <c r="J93" s="685"/>
      <c r="K93" s="67"/>
      <c r="L93" s="67"/>
      <c r="M93" s="67"/>
      <c r="N93" s="67"/>
      <c r="O93" s="67"/>
      <c r="P93" s="67"/>
      <c r="Q93" s="67"/>
      <c r="R93" s="67"/>
      <c r="S93" s="67"/>
      <c r="T93" s="67"/>
      <c r="U93" s="67"/>
      <c r="V93" s="67"/>
      <c r="W93" s="67"/>
      <c r="X93" s="67"/>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row>
    <row r="94" spans="2:73" s="69" customFormat="1">
      <c r="B94" s="67"/>
      <c r="C94" s="67"/>
      <c r="D94" s="67"/>
      <c r="E94" s="67"/>
      <c r="F94" s="67"/>
      <c r="G94" s="67"/>
      <c r="H94" s="492"/>
      <c r="I94" s="78"/>
      <c r="J94" s="67"/>
      <c r="K94" s="67"/>
      <c r="L94" s="67"/>
      <c r="M94" s="67"/>
      <c r="N94" s="67"/>
      <c r="O94" s="67"/>
      <c r="P94" s="67"/>
      <c r="Q94" s="67"/>
      <c r="R94" s="67"/>
      <c r="S94" s="67"/>
      <c r="T94" s="67"/>
      <c r="U94" s="67"/>
      <c r="V94" s="67"/>
      <c r="W94" s="67"/>
      <c r="X94" s="67"/>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row>
    <row r="95" spans="2:73" s="69" customFormat="1" ht="16.5">
      <c r="C95" s="687" t="s">
        <v>219</v>
      </c>
      <c r="D95" s="1276" t="s">
        <v>220</v>
      </c>
      <c r="E95" s="1276"/>
      <c r="F95" s="1276"/>
      <c r="G95" s="1276"/>
      <c r="H95" s="1276"/>
      <c r="I95" s="1276"/>
      <c r="J95" s="1276"/>
      <c r="K95" s="1276"/>
      <c r="L95" s="1276"/>
      <c r="P95" s="1172"/>
      <c r="Q95" s="1172"/>
      <c r="R95" s="1172"/>
      <c r="S95" s="1172"/>
      <c r="T95" s="1172"/>
      <c r="U95" s="1288" t="s">
        <v>254</v>
      </c>
      <c r="V95" s="1288"/>
      <c r="W95" s="1288"/>
      <c r="X95" s="1288"/>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row>
    <row r="96" spans="2:73" s="69" customFormat="1" ht="16.5">
      <c r="C96" s="687" t="s">
        <v>221</v>
      </c>
      <c r="D96" s="69" t="s">
        <v>222</v>
      </c>
      <c r="H96" s="688"/>
      <c r="I96" s="689"/>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row>
    <row r="97" spans="2:73" s="69" customFormat="1" ht="16.5">
      <c r="C97" s="687" t="s">
        <v>223</v>
      </c>
      <c r="D97" s="69" t="s">
        <v>224</v>
      </c>
      <c r="H97" s="688"/>
      <c r="I97" s="689"/>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row>
    <row r="98" spans="2:73" ht="16.5">
      <c r="B98" s="69"/>
      <c r="C98" s="687" t="s">
        <v>225</v>
      </c>
      <c r="D98" s="69" t="s">
        <v>226</v>
      </c>
      <c r="E98" s="69"/>
      <c r="F98" s="69"/>
      <c r="G98" s="69"/>
      <c r="H98" s="688"/>
      <c r="I98" s="689"/>
      <c r="J98" s="69"/>
      <c r="K98" s="69"/>
      <c r="L98" s="69"/>
      <c r="M98" s="69"/>
      <c r="N98" s="69"/>
      <c r="O98" s="69"/>
      <c r="P98" s="69"/>
      <c r="Q98" s="69"/>
      <c r="R98" s="69"/>
      <c r="S98" s="69"/>
      <c r="T98" s="69"/>
      <c r="U98" s="69"/>
      <c r="V98" s="69"/>
      <c r="W98" s="69"/>
      <c r="X98" s="69"/>
    </row>
    <row r="99" spans="2:73" ht="15" customHeight="1">
      <c r="B99" s="69"/>
      <c r="C99" s="687" t="s">
        <v>227</v>
      </c>
      <c r="D99" s="69" t="s">
        <v>228</v>
      </c>
      <c r="E99" s="69"/>
      <c r="F99" s="69"/>
      <c r="G99" s="69"/>
      <c r="H99" s="688"/>
      <c r="I99" s="689"/>
      <c r="J99" s="69"/>
      <c r="K99" s="69"/>
      <c r="L99" s="69"/>
      <c r="M99" s="69"/>
      <c r="N99" s="69"/>
      <c r="O99" s="69"/>
      <c r="P99" s="69"/>
      <c r="Q99" s="69"/>
      <c r="R99" s="69"/>
      <c r="S99" s="69"/>
      <c r="T99" s="69"/>
      <c r="U99" s="69"/>
      <c r="V99" s="69"/>
      <c r="W99" s="69"/>
      <c r="X99" s="69"/>
    </row>
    <row r="100" spans="2:73" s="52" customFormat="1" ht="16.5">
      <c r="B100" s="69"/>
      <c r="C100" s="687" t="s">
        <v>229</v>
      </c>
      <c r="D100" s="69" t="s">
        <v>230</v>
      </c>
      <c r="E100" s="69"/>
      <c r="F100" s="69"/>
      <c r="G100" s="69"/>
      <c r="H100" s="688"/>
      <c r="I100" s="689"/>
      <c r="J100" s="69"/>
      <c r="K100" s="69"/>
      <c r="L100" s="69"/>
      <c r="M100" s="69"/>
      <c r="N100" s="69"/>
      <c r="O100" s="69"/>
      <c r="P100" s="69"/>
      <c r="Q100" s="69"/>
      <c r="R100" s="69"/>
      <c r="S100" s="69"/>
      <c r="T100" s="69"/>
      <c r="U100" s="69"/>
      <c r="V100" s="69"/>
      <c r="W100" s="69"/>
      <c r="X100" s="69"/>
    </row>
    <row r="101" spans="2:73" s="52" customFormat="1" ht="51.75" customHeight="1">
      <c r="B101" s="67"/>
      <c r="C101" s="67"/>
      <c r="D101" s="67"/>
      <c r="E101" s="67"/>
      <c r="F101" s="67"/>
      <c r="G101" s="67"/>
      <c r="H101" s="492"/>
      <c r="I101" s="78"/>
      <c r="J101" s="67"/>
      <c r="K101" s="67"/>
      <c r="L101" s="67"/>
      <c r="M101" s="67"/>
      <c r="N101" s="67"/>
      <c r="O101" s="67"/>
      <c r="P101" s="67"/>
      <c r="Q101" s="67"/>
      <c r="R101" s="67"/>
      <c r="S101" s="67"/>
      <c r="T101" s="67"/>
      <c r="U101" s="67"/>
      <c r="V101" s="67"/>
      <c r="W101" s="67"/>
      <c r="X101" s="67"/>
    </row>
    <row r="102" spans="2:73" s="52" customFormat="1" ht="15" customHeight="1">
      <c r="B102" s="67"/>
      <c r="C102" s="690" t="s">
        <v>255</v>
      </c>
      <c r="D102" s="67"/>
      <c r="E102" s="67"/>
      <c r="F102" s="67"/>
      <c r="G102" s="67"/>
      <c r="H102" s="492"/>
      <c r="I102" s="78"/>
      <c r="J102" s="67"/>
      <c r="K102" s="67"/>
      <c r="L102" s="67"/>
      <c r="M102" s="67"/>
      <c r="N102" s="67"/>
      <c r="O102" s="67"/>
      <c r="P102" s="67"/>
      <c r="Q102" s="67"/>
      <c r="R102" s="67"/>
      <c r="S102" s="67"/>
      <c r="T102" s="67"/>
      <c r="U102" s="67"/>
      <c r="V102" s="67"/>
      <c r="W102" s="67"/>
      <c r="X102" s="67"/>
    </row>
    <row r="103" spans="2:73" s="52" customFormat="1" ht="51.75" customHeight="1" thickBot="1">
      <c r="B103" s="67"/>
      <c r="C103" s="67"/>
      <c r="D103" s="67"/>
      <c r="E103" s="67"/>
      <c r="F103" s="67"/>
      <c r="G103" s="67"/>
      <c r="H103" s="492"/>
      <c r="I103" s="78"/>
      <c r="J103" s="67"/>
      <c r="K103" s="67"/>
      <c r="L103" s="67"/>
      <c r="M103" s="67"/>
      <c r="N103" s="67"/>
      <c r="O103" s="67"/>
      <c r="P103" s="67"/>
      <c r="Q103" s="67"/>
      <c r="R103" s="67"/>
      <c r="S103" s="67"/>
      <c r="T103" s="67"/>
      <c r="U103" s="67"/>
      <c r="V103" s="67"/>
      <c r="W103" s="67"/>
      <c r="X103" s="67"/>
    </row>
    <row r="104" spans="2:73" s="52" customFormat="1" ht="15.75" thickBot="1">
      <c r="B104" s="691" t="s">
        <v>256</v>
      </c>
      <c r="C104" s="667"/>
      <c r="D104" s="667"/>
      <c r="E104" s="667"/>
      <c r="F104" s="667"/>
      <c r="G104" s="692"/>
      <c r="H104" s="492"/>
      <c r="I104" s="78"/>
      <c r="J104" s="67"/>
      <c r="K104" s="67"/>
      <c r="L104" s="67"/>
      <c r="M104" s="67"/>
      <c r="N104" s="67"/>
      <c r="O104" s="67"/>
      <c r="P104" s="67"/>
      <c r="Q104" s="67"/>
      <c r="R104" s="67"/>
      <c r="S104" s="67"/>
      <c r="T104" s="67"/>
      <c r="U104" s="67"/>
      <c r="V104" s="67"/>
      <c r="W104" s="67"/>
      <c r="X104" s="67"/>
    </row>
    <row r="105" spans="2:73" s="52" customFormat="1">
      <c r="B105" s="693" t="s">
        <v>231</v>
      </c>
      <c r="C105" s="1289" t="s">
        <v>257</v>
      </c>
      <c r="D105" s="1289"/>
      <c r="E105" s="1289"/>
      <c r="F105" s="1289"/>
      <c r="G105" s="1289"/>
      <c r="H105" s="694"/>
      <c r="I105" s="78"/>
      <c r="J105" s="67"/>
      <c r="K105" s="67"/>
      <c r="L105" s="67"/>
      <c r="M105" s="67"/>
      <c r="N105" s="67"/>
      <c r="O105" s="67"/>
      <c r="P105" s="67"/>
      <c r="Q105" s="67"/>
      <c r="R105" s="67"/>
      <c r="S105" s="67"/>
      <c r="T105" s="67"/>
      <c r="U105" s="67"/>
      <c r="V105" s="67"/>
      <c r="W105" s="67"/>
      <c r="X105" s="67"/>
    </row>
    <row r="106" spans="2:73" s="52" customFormat="1" ht="54" customHeight="1">
      <c r="B106" s="69"/>
      <c r="C106" s="1276"/>
      <c r="D106" s="1276"/>
      <c r="E106" s="1276"/>
      <c r="F106" s="1276"/>
      <c r="G106" s="1276"/>
      <c r="H106" s="694"/>
      <c r="I106" s="78"/>
      <c r="J106" s="67"/>
      <c r="K106" s="67"/>
      <c r="L106" s="67"/>
      <c r="M106" s="67"/>
      <c r="N106" s="67"/>
      <c r="O106" s="67"/>
      <c r="P106" s="67"/>
      <c r="Q106" s="67"/>
      <c r="R106" s="67"/>
      <c r="S106" s="67"/>
      <c r="T106" s="67"/>
      <c r="U106" s="67"/>
      <c r="V106" s="67"/>
      <c r="W106" s="67"/>
      <c r="X106" s="67"/>
    </row>
    <row r="107" spans="2:73" s="52" customFormat="1">
      <c r="B107" s="69"/>
      <c r="C107" s="1276"/>
      <c r="D107" s="1276"/>
      <c r="E107" s="1276"/>
      <c r="F107" s="1276"/>
      <c r="G107" s="1276"/>
      <c r="H107" s="694"/>
      <c r="I107" s="78"/>
      <c r="J107" s="67"/>
      <c r="K107" s="67"/>
      <c r="L107" s="67"/>
      <c r="M107" s="67"/>
      <c r="N107" s="67"/>
      <c r="O107" s="67"/>
      <c r="P107" s="67"/>
      <c r="Q107" s="67"/>
      <c r="R107" s="67"/>
      <c r="S107" s="67"/>
      <c r="T107" s="67"/>
      <c r="U107" s="67"/>
      <c r="V107" s="67"/>
      <c r="W107" s="67"/>
      <c r="X107" s="67"/>
    </row>
    <row r="108" spans="2:73" s="52" customFormat="1" ht="15" customHeight="1">
      <c r="B108" s="69"/>
      <c r="C108" s="1276"/>
      <c r="D108" s="1276"/>
      <c r="E108" s="1276"/>
      <c r="F108" s="1276"/>
      <c r="G108" s="1276"/>
      <c r="H108" s="694"/>
      <c r="I108" s="78"/>
      <c r="J108" s="67"/>
      <c r="K108" s="67"/>
      <c r="L108" s="67"/>
      <c r="M108" s="67"/>
      <c r="N108" s="67"/>
      <c r="O108" s="67"/>
      <c r="P108" s="67"/>
      <c r="Q108" s="67"/>
      <c r="R108" s="67"/>
      <c r="S108" s="67"/>
      <c r="T108" s="67"/>
      <c r="U108" s="67"/>
      <c r="V108" s="67"/>
      <c r="W108" s="67"/>
      <c r="X108" s="67"/>
    </row>
    <row r="109" spans="2:73" s="52" customFormat="1">
      <c r="B109" s="693" t="s">
        <v>231</v>
      </c>
      <c r="C109" s="1276" t="s">
        <v>258</v>
      </c>
      <c r="D109" s="1276"/>
      <c r="E109" s="1276"/>
      <c r="F109" s="1276"/>
      <c r="G109" s="1276"/>
      <c r="H109" s="694"/>
      <c r="I109" s="695"/>
      <c r="J109" s="532"/>
      <c r="K109" s="532"/>
      <c r="L109" s="532"/>
      <c r="M109" s="532"/>
      <c r="N109" s="532"/>
      <c r="O109" s="532"/>
      <c r="P109" s="532"/>
      <c r="Q109" s="532"/>
      <c r="R109" s="532"/>
      <c r="S109" s="532"/>
      <c r="T109" s="532"/>
      <c r="U109" s="532"/>
      <c r="V109" s="532"/>
      <c r="W109" s="532"/>
      <c r="X109" s="532"/>
    </row>
    <row r="110" spans="2:73" s="52" customFormat="1" ht="8.25" customHeight="1">
      <c r="B110" s="69"/>
      <c r="C110" s="1276"/>
      <c r="D110" s="1276"/>
      <c r="E110" s="1276"/>
      <c r="F110" s="1276"/>
      <c r="G110" s="1276"/>
      <c r="H110" s="694"/>
      <c r="I110" s="695"/>
      <c r="J110" s="532"/>
      <c r="K110" s="532"/>
      <c r="L110" s="532"/>
      <c r="M110" s="532"/>
      <c r="N110" s="532"/>
      <c r="O110" s="532"/>
      <c r="P110" s="532"/>
      <c r="Q110" s="532"/>
      <c r="R110" s="532"/>
      <c r="S110" s="532"/>
      <c r="T110" s="532"/>
      <c r="U110" s="532"/>
      <c r="V110" s="532"/>
      <c r="W110" s="532"/>
      <c r="X110" s="532"/>
    </row>
    <row r="111" spans="2:73" s="52" customFormat="1" ht="15" customHeight="1">
      <c r="B111" s="69"/>
      <c r="C111" s="1276"/>
      <c r="D111" s="1276"/>
      <c r="E111" s="1276"/>
      <c r="F111" s="1276"/>
      <c r="G111" s="1276"/>
      <c r="H111" s="694"/>
      <c r="I111" s="695"/>
      <c r="J111" s="532"/>
      <c r="K111" s="532"/>
      <c r="L111" s="532"/>
      <c r="M111" s="532"/>
      <c r="N111" s="532"/>
      <c r="O111" s="532"/>
      <c r="P111" s="532"/>
      <c r="Q111" s="532"/>
      <c r="R111" s="532"/>
      <c r="S111" s="532"/>
      <c r="T111" s="532"/>
      <c r="U111" s="532"/>
      <c r="V111" s="532"/>
      <c r="W111" s="532"/>
      <c r="X111" s="532"/>
    </row>
    <row r="112" spans="2:73" s="52" customFormat="1" ht="14.25" customHeight="1">
      <c r="B112" s="69"/>
      <c r="C112" s="1276"/>
      <c r="D112" s="1276"/>
      <c r="E112" s="1276"/>
      <c r="F112" s="1276"/>
      <c r="G112" s="1276"/>
      <c r="H112" s="694"/>
      <c r="I112" s="695"/>
      <c r="J112" s="532"/>
      <c r="K112" s="532"/>
      <c r="L112" s="532"/>
      <c r="M112" s="532"/>
      <c r="N112" s="532"/>
      <c r="O112" s="532"/>
      <c r="P112" s="532"/>
      <c r="Q112" s="532"/>
      <c r="R112" s="532"/>
      <c r="S112" s="532"/>
      <c r="T112" s="532"/>
      <c r="U112" s="532"/>
      <c r="V112" s="532"/>
      <c r="W112" s="532"/>
      <c r="X112" s="532"/>
    </row>
    <row r="113" spans="2:73" s="52" customFormat="1" ht="14.25" customHeight="1">
      <c r="B113" s="67"/>
      <c r="C113" s="67"/>
      <c r="D113" s="67"/>
      <c r="E113" s="67"/>
      <c r="F113" s="67"/>
      <c r="G113" s="67"/>
      <c r="H113" s="492"/>
      <c r="I113" s="78"/>
      <c r="J113" s="67"/>
      <c r="K113" s="67"/>
      <c r="L113" s="67"/>
      <c r="M113" s="67"/>
      <c r="N113" s="67"/>
      <c r="O113" s="67"/>
      <c r="P113" s="67"/>
      <c r="Q113" s="67"/>
      <c r="R113" s="67"/>
      <c r="S113" s="67"/>
      <c r="T113" s="67"/>
      <c r="U113" s="67"/>
      <c r="V113" s="67"/>
      <c r="W113" s="67"/>
      <c r="X113" s="67"/>
    </row>
    <row r="114" spans="2:73" s="52" customFormat="1" ht="14.25" customHeight="1">
      <c r="B114" s="696" t="s">
        <v>231</v>
      </c>
      <c r="C114" s="1276" t="s">
        <v>337</v>
      </c>
      <c r="D114" s="1276"/>
      <c r="E114" s="1276"/>
      <c r="F114" s="1276"/>
      <c r="G114" s="1276"/>
      <c r="H114" s="694"/>
      <c r="I114" s="78"/>
      <c r="J114" s="67"/>
      <c r="K114" s="67"/>
      <c r="L114" s="67"/>
      <c r="M114" s="67"/>
      <c r="N114" s="67"/>
      <c r="O114" s="67"/>
      <c r="P114" s="67"/>
      <c r="Q114" s="67"/>
      <c r="R114" s="67"/>
      <c r="S114" s="67"/>
      <c r="T114" s="67"/>
      <c r="U114" s="67"/>
      <c r="V114" s="67"/>
      <c r="W114" s="67"/>
      <c r="X114" s="67"/>
    </row>
    <row r="115" spans="2:73" s="52" customFormat="1" ht="14.25" customHeight="1">
      <c r="B115" s="67"/>
      <c r="C115" s="1276"/>
      <c r="D115" s="1276"/>
      <c r="E115" s="1276"/>
      <c r="F115" s="1276"/>
      <c r="G115" s="1276"/>
      <c r="H115" s="694"/>
      <c r="I115" s="78"/>
      <c r="J115" s="67"/>
      <c r="K115" s="67"/>
      <c r="L115" s="67"/>
      <c r="M115" s="67"/>
      <c r="N115" s="67"/>
      <c r="O115" s="67"/>
      <c r="P115" s="67"/>
      <c r="Q115" s="67"/>
      <c r="R115" s="67"/>
      <c r="S115" s="67"/>
      <c r="T115" s="67"/>
      <c r="U115" s="67"/>
      <c r="V115" s="67"/>
      <c r="W115" s="67"/>
      <c r="X115" s="67"/>
    </row>
    <row r="116" spans="2:73" s="70" customFormat="1" ht="14.25" customHeight="1">
      <c r="B116" s="67"/>
      <c r="C116" s="1276"/>
      <c r="D116" s="1276"/>
      <c r="E116" s="1276"/>
      <c r="F116" s="1276"/>
      <c r="G116" s="1276"/>
      <c r="H116" s="694"/>
      <c r="I116" s="78"/>
      <c r="J116" s="67"/>
      <c r="K116" s="67"/>
      <c r="L116" s="67"/>
      <c r="M116" s="67"/>
      <c r="N116" s="67"/>
      <c r="O116" s="67"/>
      <c r="P116" s="67"/>
      <c r="Q116" s="67"/>
      <c r="R116" s="67"/>
      <c r="S116" s="67"/>
      <c r="T116" s="67"/>
      <c r="U116" s="67"/>
      <c r="V116" s="67"/>
      <c r="W116" s="67"/>
      <c r="X116" s="67"/>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spans="2:73" s="70" customFormat="1" ht="14.25" customHeight="1">
      <c r="B117" s="67"/>
      <c r="C117" s="1276"/>
      <c r="D117" s="1276"/>
      <c r="E117" s="1276"/>
      <c r="F117" s="1276"/>
      <c r="G117" s="1276"/>
      <c r="H117" s="694"/>
      <c r="I117" s="78"/>
      <c r="J117" s="67"/>
      <c r="K117" s="67"/>
      <c r="L117" s="67"/>
      <c r="M117" s="67"/>
      <c r="N117" s="67"/>
      <c r="O117" s="67"/>
      <c r="P117" s="67"/>
      <c r="Q117" s="67"/>
      <c r="R117" s="67"/>
      <c r="S117" s="67"/>
      <c r="T117" s="67"/>
      <c r="U117" s="67"/>
      <c r="V117" s="67"/>
      <c r="W117" s="67"/>
      <c r="X117" s="67"/>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spans="2:73" s="70" customFormat="1" ht="14.25" customHeight="1">
      <c r="B118" s="67"/>
      <c r="C118" s="1276"/>
      <c r="D118" s="1276"/>
      <c r="E118" s="1276"/>
      <c r="F118" s="1276"/>
      <c r="G118" s="1276"/>
      <c r="H118" s="694"/>
      <c r="I118" s="78"/>
      <c r="J118" s="67"/>
      <c r="K118" s="67"/>
      <c r="L118" s="67"/>
      <c r="M118" s="67"/>
      <c r="N118" s="67"/>
      <c r="O118" s="67"/>
      <c r="P118" s="67"/>
      <c r="Q118" s="67"/>
      <c r="R118" s="67"/>
      <c r="S118" s="67"/>
      <c r="T118" s="67"/>
      <c r="U118" s="67"/>
      <c r="V118" s="67"/>
      <c r="W118" s="67"/>
      <c r="X118" s="67"/>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spans="2:73" s="70" customFormat="1" ht="14.25" customHeight="1">
      <c r="C119" s="1276"/>
      <c r="D119" s="1276"/>
      <c r="E119" s="1276"/>
      <c r="F119" s="1276"/>
      <c r="G119" s="1276"/>
      <c r="H119" s="694"/>
      <c r="I119" s="78"/>
      <c r="J119" s="67"/>
      <c r="K119" s="67"/>
      <c r="L119" s="67"/>
      <c r="M119" s="67"/>
      <c r="N119" s="67"/>
      <c r="O119" s="67"/>
      <c r="P119" s="67"/>
      <c r="Q119" s="67"/>
      <c r="R119" s="67"/>
      <c r="S119" s="67"/>
      <c r="T119" s="67"/>
      <c r="U119" s="67"/>
      <c r="V119" s="67"/>
      <c r="W119" s="67"/>
      <c r="X119" s="67"/>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spans="2:73" s="70" customFormat="1">
      <c r="C120" s="1276"/>
      <c r="D120" s="1276"/>
      <c r="E120" s="1276"/>
      <c r="F120" s="1276"/>
      <c r="G120" s="1276"/>
      <c r="H120" s="694"/>
      <c r="I120" s="78"/>
      <c r="J120" s="67"/>
      <c r="K120" s="67"/>
      <c r="L120" s="67"/>
      <c r="M120" s="67"/>
      <c r="N120" s="67"/>
      <c r="O120" s="67"/>
      <c r="P120" s="67"/>
      <c r="Q120" s="67"/>
      <c r="R120" s="67"/>
      <c r="S120" s="67"/>
      <c r="T120" s="67"/>
      <c r="U120" s="67"/>
      <c r="V120" s="67"/>
      <c r="W120" s="67"/>
      <c r="X120" s="67"/>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spans="2:73">
      <c r="B121" s="70"/>
      <c r="C121" s="1276"/>
      <c r="D121" s="1276"/>
      <c r="E121" s="1276"/>
      <c r="F121" s="1276"/>
      <c r="G121" s="1276"/>
      <c r="H121" s="694"/>
    </row>
    <row r="122" spans="2:73" s="70" customFormat="1">
      <c r="C122" s="1276"/>
      <c r="D122" s="1276"/>
      <c r="E122" s="1276"/>
      <c r="F122" s="1276"/>
      <c r="G122" s="1276"/>
      <c r="H122" s="694"/>
      <c r="I122" s="78"/>
      <c r="J122" s="67"/>
      <c r="K122" s="67"/>
      <c r="L122" s="67"/>
      <c r="M122" s="67"/>
      <c r="N122" s="67"/>
      <c r="O122" s="67"/>
      <c r="P122" s="67"/>
      <c r="Q122" s="67"/>
      <c r="R122" s="67"/>
      <c r="S122" s="67"/>
      <c r="T122" s="67"/>
      <c r="U122" s="67"/>
      <c r="V122" s="67"/>
      <c r="W122" s="67"/>
      <c r="X122" s="67"/>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spans="2:73" s="70" customFormat="1">
      <c r="C123" s="1276"/>
      <c r="D123" s="1276"/>
      <c r="E123" s="1276"/>
      <c r="F123" s="1276"/>
      <c r="G123" s="1276"/>
      <c r="H123" s="694"/>
      <c r="I123" s="78"/>
      <c r="J123" s="67"/>
      <c r="K123" s="67"/>
      <c r="L123" s="67"/>
      <c r="M123" s="67"/>
      <c r="N123" s="67"/>
      <c r="O123" s="67"/>
      <c r="P123" s="67"/>
      <c r="Q123" s="67"/>
      <c r="R123" s="67"/>
      <c r="S123" s="67"/>
      <c r="T123" s="67"/>
      <c r="U123" s="67"/>
      <c r="V123" s="67"/>
      <c r="W123" s="67"/>
      <c r="X123" s="67"/>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spans="2:73" s="70" customFormat="1" ht="65.25" customHeight="1">
      <c r="B124" s="67"/>
      <c r="C124" s="67"/>
      <c r="D124" s="67"/>
      <c r="E124" s="67"/>
      <c r="F124" s="67"/>
      <c r="G124" s="67"/>
      <c r="H124" s="492"/>
      <c r="I124" s="78"/>
      <c r="J124" s="67"/>
      <c r="K124" s="67"/>
      <c r="L124" s="67"/>
      <c r="M124" s="67"/>
      <c r="N124" s="67"/>
      <c r="O124" s="67"/>
      <c r="P124" s="67"/>
      <c r="Q124" s="67"/>
      <c r="R124" s="67"/>
      <c r="S124" s="67"/>
      <c r="T124" s="67"/>
      <c r="U124" s="67"/>
      <c r="V124" s="67"/>
      <c r="W124" s="67"/>
      <c r="X124" s="67"/>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spans="2:73">
      <c r="B125" s="70"/>
      <c r="C125" s="69" t="s">
        <v>260</v>
      </c>
      <c r="D125" s="532"/>
      <c r="E125" s="532"/>
      <c r="F125" s="532"/>
      <c r="G125" s="532"/>
      <c r="H125" s="694"/>
    </row>
    <row r="126" spans="2:73">
      <c r="B126" s="70"/>
      <c r="C126" s="69" t="s">
        <v>261</v>
      </c>
      <c r="D126" s="532"/>
      <c r="E126" s="532"/>
      <c r="F126" s="532"/>
      <c r="G126" s="532"/>
      <c r="H126" s="694"/>
      <c r="Y126" s="67">
        <v>0</v>
      </c>
      <c r="Z126" s="67">
        <v>0</v>
      </c>
      <c r="AA126" s="67">
        <v>0</v>
      </c>
      <c r="AB126" s="67">
        <v>0</v>
      </c>
      <c r="AC126" s="67">
        <v>0</v>
      </c>
      <c r="AD126" s="67">
        <v>0</v>
      </c>
      <c r="AE126" s="67">
        <v>0</v>
      </c>
      <c r="AF126" s="67">
        <v>0</v>
      </c>
      <c r="AG126" s="67">
        <v>0</v>
      </c>
      <c r="AH126" s="67">
        <v>0</v>
      </c>
      <c r="AI126" s="67">
        <v>0</v>
      </c>
    </row>
    <row r="127" spans="2:73" s="70" customFormat="1" ht="15.75" customHeight="1">
      <c r="C127" s="532"/>
      <c r="D127" s="532"/>
      <c r="E127" s="532"/>
      <c r="F127" s="532"/>
      <c r="G127" s="532"/>
      <c r="I127" s="78"/>
      <c r="Y127" s="67">
        <v>0</v>
      </c>
      <c r="Z127" s="67">
        <v>0</v>
      </c>
      <c r="AA127" s="67">
        <v>0</v>
      </c>
      <c r="AB127" s="67">
        <v>0</v>
      </c>
      <c r="AC127" s="67">
        <v>0</v>
      </c>
      <c r="AD127" s="67">
        <v>0</v>
      </c>
      <c r="AE127" s="67">
        <v>0</v>
      </c>
      <c r="AF127" s="67">
        <v>0</v>
      </c>
      <c r="AG127" s="67">
        <v>0</v>
      </c>
      <c r="AH127" s="67">
        <v>0</v>
      </c>
      <c r="AI127" s="67">
        <v>0</v>
      </c>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9" spans="8:8">
      <c r="H129" s="492">
        <v>399900.84052620962</v>
      </c>
    </row>
  </sheetData>
  <protectedRanges>
    <protectedRange password="CF66" sqref="I83 I85:I86 I14:I33 I59 I71:I79 I81 I62:I69 I36:I57" name="saldo kolom"/>
  </protectedRanges>
  <mergeCells count="30">
    <mergeCell ref="C105:G108"/>
    <mergeCell ref="C109:G112"/>
    <mergeCell ref="C114:G123"/>
    <mergeCell ref="B5:X5"/>
    <mergeCell ref="B6:X6"/>
    <mergeCell ref="B10:G12"/>
    <mergeCell ref="H10:H12"/>
    <mergeCell ref="I10:I12"/>
    <mergeCell ref="J10:X10"/>
    <mergeCell ref="T11:T12"/>
    <mergeCell ref="J11:J12"/>
    <mergeCell ref="K11:K12"/>
    <mergeCell ref="L11:L12"/>
    <mergeCell ref="U95:X95"/>
    <mergeCell ref="D95:L95"/>
    <mergeCell ref="W11:W12"/>
    <mergeCell ref="E55:G55"/>
    <mergeCell ref="B3:O3"/>
    <mergeCell ref="B4:X4"/>
    <mergeCell ref="M11:M12"/>
    <mergeCell ref="N11:N12"/>
    <mergeCell ref="O11:O12"/>
    <mergeCell ref="P11:P12"/>
    <mergeCell ref="X11:X12"/>
    <mergeCell ref="V11:V12"/>
    <mergeCell ref="C13:G13"/>
    <mergeCell ref="Q11:Q12"/>
    <mergeCell ref="R11:R12"/>
    <mergeCell ref="S11:S12"/>
    <mergeCell ref="U11:U12"/>
  </mergeCells>
  <pageMargins left="0.7" right="0.7" top="0.75" bottom="0.75" header="0.3" footer="0.3"/>
  <pageSetup orientation="portrait" verticalDpi="12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Lenovo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 User</dc:creator>
  <cp:keywords/>
  <dc:description/>
  <cp:lastModifiedBy>Satria Hexa Sunu</cp:lastModifiedBy>
  <cp:revision/>
  <dcterms:created xsi:type="dcterms:W3CDTF">2016-09-23T22:42:58Z</dcterms:created>
  <dcterms:modified xsi:type="dcterms:W3CDTF">2026-08-06T03:40:33Z</dcterms:modified>
  <cp:category/>
  <cp:contentStatus/>
</cp:coreProperties>
</file>